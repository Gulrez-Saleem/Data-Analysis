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yst\New folder\"/>
    </mc:Choice>
  </mc:AlternateContent>
  <xr:revisionPtr revIDLastSave="0" documentId="13_ncr:1_{C3078E49-3B85-4528-933B-642B26587F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db-top-1000 (1)" sheetId="1" r:id="rId1"/>
  </sheets>
  <definedNames>
    <definedName name="_xlnm._FilterDatabase" localSheetId="0" hidden="1">'imdb-top-1000 (1)'!$A$1:$M$1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6" i="1"/>
  <c r="K2" i="1" l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M12" i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<sst xmlns="http://schemas.openxmlformats.org/spreadsheetml/2006/main" count="4014" uniqueCount="2196">
  <si>
    <t>Series_Title</t>
  </si>
  <si>
    <t>Released_Year</t>
  </si>
  <si>
    <t>Runtime</t>
  </si>
  <si>
    <t>Genre</t>
  </si>
  <si>
    <t>IMDB_Rating</t>
  </si>
  <si>
    <t>Director</t>
  </si>
  <si>
    <t>Star1</t>
  </si>
  <si>
    <t>No_of_Votes</t>
  </si>
  <si>
    <t>Gross</t>
  </si>
  <si>
    <t>Metascore</t>
  </si>
  <si>
    <t>The Shawshank Redemption</t>
  </si>
  <si>
    <t>Drama</t>
  </si>
  <si>
    <t>Frank Darabont</t>
  </si>
  <si>
    <t>Tim Robbins</t>
  </si>
  <si>
    <t>The Godfather</t>
  </si>
  <si>
    <t>Crime</t>
  </si>
  <si>
    <t>Francis Ford Coppola</t>
  </si>
  <si>
    <t>Marlon Brando</t>
  </si>
  <si>
    <t>The Dark Knight</t>
  </si>
  <si>
    <t>Action</t>
  </si>
  <si>
    <t>Christopher Nolan</t>
  </si>
  <si>
    <t>Christian Bale</t>
  </si>
  <si>
    <t>The Godfather: Part II</t>
  </si>
  <si>
    <t>Al Pacino</t>
  </si>
  <si>
    <t>12 Angry Men</t>
  </si>
  <si>
    <t>Sidney Lumet</t>
  </si>
  <si>
    <t>Henry Fonda</t>
  </si>
  <si>
    <t>The Lord of the Rings: The Return of the King</t>
  </si>
  <si>
    <t>Peter Jackson</t>
  </si>
  <si>
    <t>Elijah Wood</t>
  </si>
  <si>
    <t>Pulp Fiction</t>
  </si>
  <si>
    <t>Quentin Tarantino</t>
  </si>
  <si>
    <t>John Travolta</t>
  </si>
  <si>
    <t>Schindler's List</t>
  </si>
  <si>
    <t>Biography</t>
  </si>
  <si>
    <t>Steven Spielberg</t>
  </si>
  <si>
    <t>Liam Neeson</t>
  </si>
  <si>
    <t>Inception</t>
  </si>
  <si>
    <t>Leonardo DiCaprio</t>
  </si>
  <si>
    <t>Fight Club</t>
  </si>
  <si>
    <t>David Fincher</t>
  </si>
  <si>
    <t>Brad Pitt</t>
  </si>
  <si>
    <t>The Lord of the Rings: The Fellowship of the Ring</t>
  </si>
  <si>
    <t>Forrest Gump</t>
  </si>
  <si>
    <t>Robert Zemeckis</t>
  </si>
  <si>
    <t>Tom Hanks</t>
  </si>
  <si>
    <t>Il buono, il brutto, il cattivo</t>
  </si>
  <si>
    <t>Western</t>
  </si>
  <si>
    <t>Sergio Leone</t>
  </si>
  <si>
    <t>Clint Eastwood</t>
  </si>
  <si>
    <t>The Lord of the Rings: The Two Towers</t>
  </si>
  <si>
    <t>The Matrix</t>
  </si>
  <si>
    <t>Lana Wachowski</t>
  </si>
  <si>
    <t>Lilly Wachowski</t>
  </si>
  <si>
    <t>Goodfellas</t>
  </si>
  <si>
    <t>Martin Scorsese</t>
  </si>
  <si>
    <t>Robert De Niro</t>
  </si>
  <si>
    <t>Star Wars: Episode V - The Empire Strikes Back</t>
  </si>
  <si>
    <t>Irvin Kershner</t>
  </si>
  <si>
    <t>Mark Hamill</t>
  </si>
  <si>
    <t>One Flew Over the Cuckoo's Nest</t>
  </si>
  <si>
    <t>Milos Forman</t>
  </si>
  <si>
    <t>Jack Nicholson</t>
  </si>
  <si>
    <t>Hamilton</t>
  </si>
  <si>
    <t>Thomas Kail</t>
  </si>
  <si>
    <t>Lin-Manuel Miranda</t>
  </si>
  <si>
    <t>Gisaengchung</t>
  </si>
  <si>
    <t>Comedy</t>
  </si>
  <si>
    <t>Bong Joon Ho</t>
  </si>
  <si>
    <t>Kang-ho Song</t>
  </si>
  <si>
    <t>Soorarai Pottru</t>
  </si>
  <si>
    <t>Sudha Kongara</t>
  </si>
  <si>
    <t>Suriya</t>
  </si>
  <si>
    <t>Interstellar</t>
  </si>
  <si>
    <t>Adventure</t>
  </si>
  <si>
    <t>Matthew McConaughey</t>
  </si>
  <si>
    <t>Cidade de Deus</t>
  </si>
  <si>
    <t>Fernando Meirelles</t>
  </si>
  <si>
    <t>KÃ¡tia Lund</t>
  </si>
  <si>
    <t>Sen to Chihiro no kamikakushi</t>
  </si>
  <si>
    <t>Animation</t>
  </si>
  <si>
    <t>Hayao Miyazaki</t>
  </si>
  <si>
    <t>Daveigh Chase</t>
  </si>
  <si>
    <t>Saving Private Ryan</t>
  </si>
  <si>
    <t>The Green Mile</t>
  </si>
  <si>
    <t>La vita Ã¨ bella</t>
  </si>
  <si>
    <t>Roberto Benigni</t>
  </si>
  <si>
    <t>Se7en</t>
  </si>
  <si>
    <t>Morgan Freeman</t>
  </si>
  <si>
    <t>The Silence of the Lambs</t>
  </si>
  <si>
    <t>Jonathan Demme</t>
  </si>
  <si>
    <t>Jodie Foster</t>
  </si>
  <si>
    <t>Star Wars</t>
  </si>
  <si>
    <t>George Lucas</t>
  </si>
  <si>
    <t>Seppuku</t>
  </si>
  <si>
    <t>Masaki Kobayashi</t>
  </si>
  <si>
    <t>Tatsuya Nakadai</t>
  </si>
  <si>
    <t>Shichinin no samurai</t>
  </si>
  <si>
    <t>Akira Kurosawa</t>
  </si>
  <si>
    <t>ToshirÃ´ Mifune</t>
  </si>
  <si>
    <t>It's a Wonderful Life</t>
  </si>
  <si>
    <t>Frank Capra</t>
  </si>
  <si>
    <t>James Stewart</t>
  </si>
  <si>
    <t>Joker</t>
  </si>
  <si>
    <t>Todd Phillips</t>
  </si>
  <si>
    <t>Joaquin Phoenix</t>
  </si>
  <si>
    <t>Whiplash</t>
  </si>
  <si>
    <t>Damien Chazelle</t>
  </si>
  <si>
    <t>Miles Teller</t>
  </si>
  <si>
    <t>The Intouchables</t>
  </si>
  <si>
    <t>Olivier Nakache</t>
  </si>
  <si>
    <t>Ã‰ric Toledano</t>
  </si>
  <si>
    <t>The Prestige</t>
  </si>
  <si>
    <t>The Departed</t>
  </si>
  <si>
    <t>The Pianist</t>
  </si>
  <si>
    <t>Roman Polanski</t>
  </si>
  <si>
    <t>Adrien Brody</t>
  </si>
  <si>
    <t>Gladiator</t>
  </si>
  <si>
    <t>Ridley Scott</t>
  </si>
  <si>
    <t>Russell Crowe</t>
  </si>
  <si>
    <t>American History X</t>
  </si>
  <si>
    <t>Tony Kaye</t>
  </si>
  <si>
    <t>Edward Norton</t>
  </si>
  <si>
    <t>The Usual Suspects</t>
  </si>
  <si>
    <t>Bryan Singer</t>
  </si>
  <si>
    <t>Kevin Spacey</t>
  </si>
  <si>
    <t>LÃ©on</t>
  </si>
  <si>
    <t>Luc Besson</t>
  </si>
  <si>
    <t>Jean Reno</t>
  </si>
  <si>
    <t>The Lion King</t>
  </si>
  <si>
    <t>Roger Allers</t>
  </si>
  <si>
    <t>Rob Minkoff</t>
  </si>
  <si>
    <t>Terminator 2: Judgment Day</t>
  </si>
  <si>
    <t>James Cameron</t>
  </si>
  <si>
    <t>Arnold Schwarzenegger</t>
  </si>
  <si>
    <t>Nuovo Cinema Paradiso</t>
  </si>
  <si>
    <t>Giuseppe Tornatore</t>
  </si>
  <si>
    <t>Philippe Noiret</t>
  </si>
  <si>
    <t>Hotaru no haka</t>
  </si>
  <si>
    <t>Isao Takahata</t>
  </si>
  <si>
    <t>Tsutomu Tatsumi</t>
  </si>
  <si>
    <t>Back to the Future</t>
  </si>
  <si>
    <t>Michael J. Fox</t>
  </si>
  <si>
    <t>Once Upon a Time in the West</t>
  </si>
  <si>
    <t>Psycho</t>
  </si>
  <si>
    <t>Horror</t>
  </si>
  <si>
    <t>Alfred Hitchcock</t>
  </si>
  <si>
    <t>Anthony Perkins</t>
  </si>
  <si>
    <t>Casablanca</t>
  </si>
  <si>
    <t>Michael Curtiz</t>
  </si>
  <si>
    <t>Humphrey Bogart</t>
  </si>
  <si>
    <t>Modern Times</t>
  </si>
  <si>
    <t>Charles Chaplin</t>
  </si>
  <si>
    <t>City Lights</t>
  </si>
  <si>
    <t>CapharnaÃ¼m</t>
  </si>
  <si>
    <t>Nadine Labaki</t>
  </si>
  <si>
    <t>Zain Al Rafeea</t>
  </si>
  <si>
    <t>Ayla: The Daughter of War</t>
  </si>
  <si>
    <t>Can Ulkay</t>
  </si>
  <si>
    <t>Erdem Can</t>
  </si>
  <si>
    <t>Vikram Vedha</t>
  </si>
  <si>
    <t>Gayatri</t>
  </si>
  <si>
    <t>Pushkar</t>
  </si>
  <si>
    <t>Kimi no na wa.</t>
  </si>
  <si>
    <t>Makoto Shinkai</t>
  </si>
  <si>
    <t>RyÃ»nosuke Kamiki</t>
  </si>
  <si>
    <t>Dangal</t>
  </si>
  <si>
    <t>Nitesh Tiwari</t>
  </si>
  <si>
    <t>Aamir Khan</t>
  </si>
  <si>
    <t>Spider-Man: Into the Spider-Verse</t>
  </si>
  <si>
    <t>Bob Persichetti</t>
  </si>
  <si>
    <t>Peter Ramsey</t>
  </si>
  <si>
    <t>Avengers: Endgame</t>
  </si>
  <si>
    <t>Anthony Russo</t>
  </si>
  <si>
    <t>Joe Russo</t>
  </si>
  <si>
    <t>Avengers: Infinity War</t>
  </si>
  <si>
    <t>Coco</t>
  </si>
  <si>
    <t>Lee Unkrich</t>
  </si>
  <si>
    <t>Adrian Molina</t>
  </si>
  <si>
    <t>Django Unchained</t>
  </si>
  <si>
    <t>Jamie Foxx</t>
  </si>
  <si>
    <t>The Dark Knight Rises</t>
  </si>
  <si>
    <t>3 Idiots</t>
  </si>
  <si>
    <t>Rajkumar Hirani</t>
  </si>
  <si>
    <t>Taare Zameen Par</t>
  </si>
  <si>
    <t>Amole Gupte</t>
  </si>
  <si>
    <t>WALLÂ·E</t>
  </si>
  <si>
    <t>Andrew Stanton</t>
  </si>
  <si>
    <t>Ben Burtt</t>
  </si>
  <si>
    <t>The Lives of Others</t>
  </si>
  <si>
    <t>Florian Henckel von Donnersmarck</t>
  </si>
  <si>
    <t>Ulrich MÃ¼he</t>
  </si>
  <si>
    <t>Oldeuboi</t>
  </si>
  <si>
    <t>Chan-wook Park</t>
  </si>
  <si>
    <t>Choi Min-sik</t>
  </si>
  <si>
    <t>Memento</t>
  </si>
  <si>
    <t>Mystery</t>
  </si>
  <si>
    <t>Guy Pearce</t>
  </si>
  <si>
    <t>Mononoke-hime</t>
  </si>
  <si>
    <t>YÃ´ji Matsuda</t>
  </si>
  <si>
    <t>Once Upon a Time in America</t>
  </si>
  <si>
    <t>Raiders of the Lost Ark</t>
  </si>
  <si>
    <t>Harrison Ford</t>
  </si>
  <si>
    <t>The Shining</t>
  </si>
  <si>
    <t>Stanley Kubrick</t>
  </si>
  <si>
    <t>Apocalypse Now</t>
  </si>
  <si>
    <t>Martin Sheen</t>
  </si>
  <si>
    <t>Alien</t>
  </si>
  <si>
    <t>Sigourney Weaver</t>
  </si>
  <si>
    <t>Anand</t>
  </si>
  <si>
    <t>Hrishikesh Mukherjee</t>
  </si>
  <si>
    <t>Rajesh Khanna</t>
  </si>
  <si>
    <t>Tengoku to jigoku</t>
  </si>
  <si>
    <t>Dr. Strangelove or: How I Learned to Stop Worrying and Love the Bomb</t>
  </si>
  <si>
    <t>Peter Sellers</t>
  </si>
  <si>
    <t>Witness for the Prosecution</t>
  </si>
  <si>
    <t>Billy Wilder</t>
  </si>
  <si>
    <t>Tyrone Power</t>
  </si>
  <si>
    <t>Paths of Glory</t>
  </si>
  <si>
    <t>Kirk Douglas</t>
  </si>
  <si>
    <t>Rear Window</t>
  </si>
  <si>
    <t>Sunset Blvd.</t>
  </si>
  <si>
    <t>William Holden</t>
  </si>
  <si>
    <t>The Great Dictator</t>
  </si>
  <si>
    <t>Sam Mendes</t>
  </si>
  <si>
    <t>Dean-Charles Chapman</t>
  </si>
  <si>
    <t>Tumbbad</t>
  </si>
  <si>
    <t>Rahi Anil Barve</t>
  </si>
  <si>
    <t>Anand Gandhi</t>
  </si>
  <si>
    <t>Andhadhun</t>
  </si>
  <si>
    <t>Sriram Raghavan</t>
  </si>
  <si>
    <t>Ayushmann Khurrana</t>
  </si>
  <si>
    <t>Drishyam</t>
  </si>
  <si>
    <t>Jeethu Joseph</t>
  </si>
  <si>
    <t>Mohanlal</t>
  </si>
  <si>
    <t>Jagten</t>
  </si>
  <si>
    <t>Thomas Vinterberg</t>
  </si>
  <si>
    <t>Mads Mikkelsen</t>
  </si>
  <si>
    <t>Jodaeiye Nader az Simin</t>
  </si>
  <si>
    <t>Asghar Farhadi</t>
  </si>
  <si>
    <t>Payman Maadi</t>
  </si>
  <si>
    <t>Incendies</t>
  </si>
  <si>
    <t>Denis Villeneuve</t>
  </si>
  <si>
    <t>Lubna Azabal</t>
  </si>
  <si>
    <t>Miracle in cell NO.7</t>
  </si>
  <si>
    <t>Mehmet Ada Ã–ztekin</t>
  </si>
  <si>
    <t>Aras Bulut Iynemli</t>
  </si>
  <si>
    <t>Babam ve Oglum</t>
  </si>
  <si>
    <t>Ã‡agan Irmak</t>
  </si>
  <si>
    <t>Ã‡etin Tekindor</t>
  </si>
  <si>
    <t>Inglourious Basterds</t>
  </si>
  <si>
    <t>Eternal Sunshine of the Spotless Mind</t>
  </si>
  <si>
    <t>Michel Gondry</t>
  </si>
  <si>
    <t>Jim Carrey</t>
  </si>
  <si>
    <t>AmÃ©lie</t>
  </si>
  <si>
    <t>Jean-Pierre Jeunet</t>
  </si>
  <si>
    <t>Audrey Tautou</t>
  </si>
  <si>
    <t>Snatch</t>
  </si>
  <si>
    <t>Guy Ritchie</t>
  </si>
  <si>
    <t>Jason Statham</t>
  </si>
  <si>
    <t>Requiem for a Dream</t>
  </si>
  <si>
    <t>Darren Aronofsky</t>
  </si>
  <si>
    <t>Ellen Burstyn</t>
  </si>
  <si>
    <t>American Beauty</t>
  </si>
  <si>
    <t>Good Will Hunting</t>
  </si>
  <si>
    <t>Gus Van Sant</t>
  </si>
  <si>
    <t>Robin Williams</t>
  </si>
  <si>
    <t>Bacheha-Ye aseman</t>
  </si>
  <si>
    <t>Majid Majidi</t>
  </si>
  <si>
    <t>Mohammad Amir Naji</t>
  </si>
  <si>
    <t>Toy Story</t>
  </si>
  <si>
    <t>John Lasseter</t>
  </si>
  <si>
    <t>Braveheart</t>
  </si>
  <si>
    <t>Mel Gibson</t>
  </si>
  <si>
    <t>Reservoir Dogs</t>
  </si>
  <si>
    <t>Harvey Keitel</t>
  </si>
  <si>
    <t>Full Metal Jacket</t>
  </si>
  <si>
    <t>Matthew Modine</t>
  </si>
  <si>
    <t>Idi i smotri</t>
  </si>
  <si>
    <t>Elem Klimov</t>
  </si>
  <si>
    <t>Aleksey Kravchenko</t>
  </si>
  <si>
    <t>Aliens</t>
  </si>
  <si>
    <t>Amadeus</t>
  </si>
  <si>
    <t>F. Murray Abraham</t>
  </si>
  <si>
    <t>Scarface</t>
  </si>
  <si>
    <t>Brian De Palma</t>
  </si>
  <si>
    <t>Star Wars: Episode VI - Return of the Jedi</t>
  </si>
  <si>
    <t>Richard Marquand</t>
  </si>
  <si>
    <t>Das Boot</t>
  </si>
  <si>
    <t>Wolfgang Petersen</t>
  </si>
  <si>
    <t>JÃ¼rgen Prochnow</t>
  </si>
  <si>
    <t>Taxi Driver</t>
  </si>
  <si>
    <t>The Sting</t>
  </si>
  <si>
    <t>George Roy Hill</t>
  </si>
  <si>
    <t>Paul Newman</t>
  </si>
  <si>
    <t>A Clockwork Orange</t>
  </si>
  <si>
    <t>Malcolm McDowell</t>
  </si>
  <si>
    <t>2001: A Space Odyssey</t>
  </si>
  <si>
    <t>Keir Dullea</t>
  </si>
  <si>
    <t>Per qualche dollaro in piÃ¹</t>
  </si>
  <si>
    <t>Lawrence of Arabia</t>
  </si>
  <si>
    <t>David Lean</t>
  </si>
  <si>
    <t>Peter O'Toole</t>
  </si>
  <si>
    <t>The Apartment</t>
  </si>
  <si>
    <t>Jack Lemmon</t>
  </si>
  <si>
    <t>North by Northwest</t>
  </si>
  <si>
    <t>Cary Grant</t>
  </si>
  <si>
    <t>Vertigo</t>
  </si>
  <si>
    <t>Singin' in the Rain</t>
  </si>
  <si>
    <t>Stanley Donen</t>
  </si>
  <si>
    <t>Gene Kelly</t>
  </si>
  <si>
    <t>Ikiru</t>
  </si>
  <si>
    <t>Takashi Shimura</t>
  </si>
  <si>
    <t>Ladri di biciclette</t>
  </si>
  <si>
    <t>Vittorio De Sica</t>
  </si>
  <si>
    <t>Lamberto Maggiorani</t>
  </si>
  <si>
    <t>Double Indemnity</t>
  </si>
  <si>
    <t>Fred MacMurray</t>
  </si>
  <si>
    <t>Citizen Kane</t>
  </si>
  <si>
    <t>Orson Welles</t>
  </si>
  <si>
    <t>M - Eine Stadt sucht einen MÃ¶rder</t>
  </si>
  <si>
    <t>Fritz Lang</t>
  </si>
  <si>
    <t>Peter Lorre</t>
  </si>
  <si>
    <t>Metropolis</t>
  </si>
  <si>
    <t>Brigitte Helm</t>
  </si>
  <si>
    <t>The Kid</t>
  </si>
  <si>
    <t>Chhichhore</t>
  </si>
  <si>
    <t>Sushant Singh Rajput</t>
  </si>
  <si>
    <t>Uri: The Surgical Strike</t>
  </si>
  <si>
    <t>Aditya Dhar</t>
  </si>
  <si>
    <t>Vicky Kaushal</t>
  </si>
  <si>
    <t>K.G.F: Chapter 1</t>
  </si>
  <si>
    <t>Prashanth Neel</t>
  </si>
  <si>
    <t>Yash</t>
  </si>
  <si>
    <t>Green Book</t>
  </si>
  <si>
    <t>Peter Farrelly</t>
  </si>
  <si>
    <t>Viggo Mortensen</t>
  </si>
  <si>
    <t>Three Billboards Outside Ebbing, Missouri</t>
  </si>
  <si>
    <t>Martin McDonagh</t>
  </si>
  <si>
    <t>Frances McDormand</t>
  </si>
  <si>
    <t>Talvar</t>
  </si>
  <si>
    <t>Meghna Gulzar</t>
  </si>
  <si>
    <t>Irrfan Khan</t>
  </si>
  <si>
    <t>Baahubali 2: The Conclusion</t>
  </si>
  <si>
    <t>S.S. Rajamouli</t>
  </si>
  <si>
    <t>Prabhas</t>
  </si>
  <si>
    <t>Klaus</t>
  </si>
  <si>
    <t>Sergio Pablos</t>
  </si>
  <si>
    <t>Carlos MartÃ­nez LÃ³pez</t>
  </si>
  <si>
    <t>Nishikant Kamat</t>
  </si>
  <si>
    <t>Ajay Devgn</t>
  </si>
  <si>
    <t>Queen</t>
  </si>
  <si>
    <t>Vikas Bahl</t>
  </si>
  <si>
    <t>Kangana Ranaut</t>
  </si>
  <si>
    <t>Mandariinid</t>
  </si>
  <si>
    <t>Zaza Urushadze</t>
  </si>
  <si>
    <t>Lembit Ulfsak</t>
  </si>
  <si>
    <t>Bhaag Milkha Bhaag</t>
  </si>
  <si>
    <t>Rakeysh Omprakash Mehra</t>
  </si>
  <si>
    <t>Farhan Akhtar</t>
  </si>
  <si>
    <t>Gangs of Wasseypur</t>
  </si>
  <si>
    <t>Anurag Kashyap</t>
  </si>
  <si>
    <t>Manoj Bajpayee</t>
  </si>
  <si>
    <t>Udaan</t>
  </si>
  <si>
    <t>Vikramaditya Motwane</t>
  </si>
  <si>
    <t>Rajat Barmecha</t>
  </si>
  <si>
    <t>Paan Singh Tomar</t>
  </si>
  <si>
    <t>Tigmanshu Dhulia</t>
  </si>
  <si>
    <t>El secreto de sus ojos</t>
  </si>
  <si>
    <t>Juan JosÃ© Campanella</t>
  </si>
  <si>
    <t>Ricardo DarÃ­n</t>
  </si>
  <si>
    <t>Warrior</t>
  </si>
  <si>
    <t>Gavin O'Connor</t>
  </si>
  <si>
    <t>Tom Hardy</t>
  </si>
  <si>
    <t>Shutter Island</t>
  </si>
  <si>
    <t>Up</t>
  </si>
  <si>
    <t>Pete Docter</t>
  </si>
  <si>
    <t>Bob Peterson</t>
  </si>
  <si>
    <t>The Wolf of Wall Street</t>
  </si>
  <si>
    <t>Chak De! India</t>
  </si>
  <si>
    <t>Shimit Amin</t>
  </si>
  <si>
    <t>Shah Rukh Khan</t>
  </si>
  <si>
    <t>There Will Be Blood</t>
  </si>
  <si>
    <t>Paul Thomas Anderson</t>
  </si>
  <si>
    <t>Daniel Day-Lewis</t>
  </si>
  <si>
    <t>Pan's Labyrinth</t>
  </si>
  <si>
    <t>Guillermo del Toro</t>
  </si>
  <si>
    <t>Ivana Baquero</t>
  </si>
  <si>
    <t>Toy Story 3</t>
  </si>
  <si>
    <t>V for Vendetta</t>
  </si>
  <si>
    <t>James McTeigue</t>
  </si>
  <si>
    <t>Hugo Weaving</t>
  </si>
  <si>
    <t>Rang De Basanti</t>
  </si>
  <si>
    <t>Black</t>
  </si>
  <si>
    <t>Sanjay Leela Bhansali</t>
  </si>
  <si>
    <t>Amitabh Bachchan</t>
  </si>
  <si>
    <t>Batman Begins</t>
  </si>
  <si>
    <t>Swades: We, the People</t>
  </si>
  <si>
    <t>Ashutosh Gowariker</t>
  </si>
  <si>
    <t>Der Untergang</t>
  </si>
  <si>
    <t>Oliver Hirschbiegel</t>
  </si>
  <si>
    <t>Bruno Ganz</t>
  </si>
  <si>
    <t>Hauru no ugoku shiro</t>
  </si>
  <si>
    <t>Chieko BaishÃ´</t>
  </si>
  <si>
    <t>A Beautiful Mind</t>
  </si>
  <si>
    <t>Ron Howard</t>
  </si>
  <si>
    <t>Hera Pheri</t>
  </si>
  <si>
    <t>Priyadarshan</t>
  </si>
  <si>
    <t>Akshay Kumar</t>
  </si>
  <si>
    <t>Lock, Stock and Two Smoking Barrels</t>
  </si>
  <si>
    <t>Jason Flemyng</t>
  </si>
  <si>
    <t>L.A. Confidential</t>
  </si>
  <si>
    <t>Curtis Hanson</t>
  </si>
  <si>
    <t>Eskiya</t>
  </si>
  <si>
    <t>Yavuz Turgul</t>
  </si>
  <si>
    <t>Sener Sen</t>
  </si>
  <si>
    <t>Heat</t>
  </si>
  <si>
    <t>Michael Mann</t>
  </si>
  <si>
    <t>Casino</t>
  </si>
  <si>
    <t>Andaz Apna Apna</t>
  </si>
  <si>
    <t>Rajkumar Santoshi</t>
  </si>
  <si>
    <t>Unforgiven</t>
  </si>
  <si>
    <t>Indiana Jones and the Last Crusade</t>
  </si>
  <si>
    <t>Dom za vesanje</t>
  </si>
  <si>
    <t>Emir Kusturica</t>
  </si>
  <si>
    <t>Davor Dujmovic</t>
  </si>
  <si>
    <t>Tonari no Totoro</t>
  </si>
  <si>
    <t>Hitoshi Takagi</t>
  </si>
  <si>
    <t>Die Hard</t>
  </si>
  <si>
    <t>John McTiernan</t>
  </si>
  <si>
    <t>Bruce Willis</t>
  </si>
  <si>
    <t>Ran</t>
  </si>
  <si>
    <t>Raging Bull</t>
  </si>
  <si>
    <t>Stalker</t>
  </si>
  <si>
    <t>Andrei Tarkovsky</t>
  </si>
  <si>
    <t>Alisa Freyndlikh</t>
  </si>
  <si>
    <t>HÃ¶stsonaten</t>
  </si>
  <si>
    <t>Ingmar Bergman</t>
  </si>
  <si>
    <t>Ingrid Bergman</t>
  </si>
  <si>
    <t>The Message</t>
  </si>
  <si>
    <t>Moustapha Akkad</t>
  </si>
  <si>
    <t>Anthony Quinn</t>
  </si>
  <si>
    <t>Sholay</t>
  </si>
  <si>
    <t>Ramesh Sippy</t>
  </si>
  <si>
    <t>Sanjeev Kumar</t>
  </si>
  <si>
    <t>Monty Python and the Holy Grail</t>
  </si>
  <si>
    <t>Terry Gilliam</t>
  </si>
  <si>
    <t>Terry Jones</t>
  </si>
  <si>
    <t>The Great Escape</t>
  </si>
  <si>
    <t>John Sturges</t>
  </si>
  <si>
    <t>Steve McQueen</t>
  </si>
  <si>
    <t>To Kill a Mockingbird</t>
  </si>
  <si>
    <t>Robert Mulligan</t>
  </si>
  <si>
    <t>Gregory Peck</t>
  </si>
  <si>
    <t>YÃ´jinbÃ´</t>
  </si>
  <si>
    <t>Judgment at Nuremberg</t>
  </si>
  <si>
    <t>Stanley Kramer</t>
  </si>
  <si>
    <t>Spencer Tracy</t>
  </si>
  <si>
    <t>Some Like It Hot</t>
  </si>
  <si>
    <t>Marilyn Monroe</t>
  </si>
  <si>
    <t>SmultronstÃ¤llet</t>
  </si>
  <si>
    <t>Victor SjÃ¶strÃ¶m</t>
  </si>
  <si>
    <t>Det sjunde inseglet</t>
  </si>
  <si>
    <t>Max von Sydow</t>
  </si>
  <si>
    <t>Du rififi chez les hommes</t>
  </si>
  <si>
    <t>Jules Dassin</t>
  </si>
  <si>
    <t>Jean Servais</t>
  </si>
  <si>
    <t>Dial M for Murder</t>
  </si>
  <si>
    <t>Ray Milland</t>
  </si>
  <si>
    <t>TÃ´kyÃ´ monogatari</t>
  </si>
  <si>
    <t>YasujirÃ´ Ozu</t>
  </si>
  <si>
    <t>ChishÃ» RyÃ»</t>
  </si>
  <si>
    <t>RashÃ´mon</t>
  </si>
  <si>
    <t>All About Eve</t>
  </si>
  <si>
    <t>Joseph L. Mankiewicz</t>
  </si>
  <si>
    <t>Bette Davis</t>
  </si>
  <si>
    <t>The Treasure of the Sierra Madre</t>
  </si>
  <si>
    <t>John Huston</t>
  </si>
  <si>
    <t>To Be or Not to Be</t>
  </si>
  <si>
    <t>Ernst Lubitsch</t>
  </si>
  <si>
    <t>Carole Lombard</t>
  </si>
  <si>
    <t>The Gold Rush</t>
  </si>
  <si>
    <t>Sherlock Jr.</t>
  </si>
  <si>
    <t>Buster Keaton</t>
  </si>
  <si>
    <t>Portrait de la jeune fille en feu</t>
  </si>
  <si>
    <t>CÃ©line Sciamma</t>
  </si>
  <si>
    <t>NoÃ©mie Merlant</t>
  </si>
  <si>
    <t>Pink</t>
  </si>
  <si>
    <t>Aniruddha Roy Chowdhury</t>
  </si>
  <si>
    <t>Taapsee Pannu</t>
  </si>
  <si>
    <t>Koe no katachi</t>
  </si>
  <si>
    <t>Naoko Yamada</t>
  </si>
  <si>
    <t>Miyu Irino</t>
  </si>
  <si>
    <t>Contratiempo</t>
  </si>
  <si>
    <t>Oriol Paulo</t>
  </si>
  <si>
    <t>Mario Casas</t>
  </si>
  <si>
    <t>Ah-ga-ssi</t>
  </si>
  <si>
    <t>Kim Min-hee</t>
  </si>
  <si>
    <t>Mommy</t>
  </si>
  <si>
    <t>Xavier Dolan</t>
  </si>
  <si>
    <t>Anne Dorval</t>
  </si>
  <si>
    <t>Haider</t>
  </si>
  <si>
    <t>Vishal Bhardwaj</t>
  </si>
  <si>
    <t>Shahid Kapoor</t>
  </si>
  <si>
    <t>Logan</t>
  </si>
  <si>
    <t>James Mangold</t>
  </si>
  <si>
    <t>Hugh Jackman</t>
  </si>
  <si>
    <t>Room</t>
  </si>
  <si>
    <t>Lenny Abrahamson</t>
  </si>
  <si>
    <t>Brie Larson</t>
  </si>
  <si>
    <t>Relatos salvajes</t>
  </si>
  <si>
    <t>DamiÃ¡n Szifron</t>
  </si>
  <si>
    <t>DarÃ­o Grandinetti</t>
  </si>
  <si>
    <t>Soul</t>
  </si>
  <si>
    <t>Kemp Powers</t>
  </si>
  <si>
    <t>Kis Uykusu</t>
  </si>
  <si>
    <t>Nuri Bilge Ceylan</t>
  </si>
  <si>
    <t>Haluk Bilginer</t>
  </si>
  <si>
    <t>PK</t>
  </si>
  <si>
    <t>OMG: Oh My God!</t>
  </si>
  <si>
    <t>Umesh Shukla</t>
  </si>
  <si>
    <t>Paresh Rawal</t>
  </si>
  <si>
    <t>The Grand Budapest Hotel</t>
  </si>
  <si>
    <t>Wes Anderson</t>
  </si>
  <si>
    <t>Ralph Fiennes</t>
  </si>
  <si>
    <t>Gone Girl</t>
  </si>
  <si>
    <t>Ben Affleck</t>
  </si>
  <si>
    <t>Ã”kami kodomo no Ame to Yuki</t>
  </si>
  <si>
    <t>Mamoru Hosoda</t>
  </si>
  <si>
    <t>Aoi Miyazaki</t>
  </si>
  <si>
    <t>Hacksaw Ridge</t>
  </si>
  <si>
    <t>Andrew Garfield</t>
  </si>
  <si>
    <t>Inside Out</t>
  </si>
  <si>
    <t>Ronnie Del Carmen</t>
  </si>
  <si>
    <t>Barfi!</t>
  </si>
  <si>
    <t>Anurag Basu</t>
  </si>
  <si>
    <t>Ranbir Kapoor</t>
  </si>
  <si>
    <t>12 Years a Slave</t>
  </si>
  <si>
    <t>Chiwetel Ejiofor</t>
  </si>
  <si>
    <t>Rush</t>
  </si>
  <si>
    <t>Daniel BrÃ¼hl</t>
  </si>
  <si>
    <t>Ford v Ferrari</t>
  </si>
  <si>
    <t>Matt Damon</t>
  </si>
  <si>
    <t>Spotlight</t>
  </si>
  <si>
    <t>Tom McCarthy</t>
  </si>
  <si>
    <t>Mark Ruffalo</t>
  </si>
  <si>
    <t>Song of the Sea</t>
  </si>
  <si>
    <t>Tomm Moore</t>
  </si>
  <si>
    <t>David Rawle</t>
  </si>
  <si>
    <t>Kahaani</t>
  </si>
  <si>
    <t>Sujoy Ghosh</t>
  </si>
  <si>
    <t>Vidya Balan</t>
  </si>
  <si>
    <t>Zindagi Na Milegi Dobara</t>
  </si>
  <si>
    <t>Zoya Akhtar</t>
  </si>
  <si>
    <t>Hrithik Roshan</t>
  </si>
  <si>
    <t>Prisoners</t>
  </si>
  <si>
    <t>Mad Max: Fury Road</t>
  </si>
  <si>
    <t>George Miller</t>
  </si>
  <si>
    <t>A Wednesday</t>
  </si>
  <si>
    <t>Neeraj Pandey</t>
  </si>
  <si>
    <t>Anupam Kher</t>
  </si>
  <si>
    <t>Gran Torino</t>
  </si>
  <si>
    <t>Harry Potter and the Deathly Hallows: Part 2</t>
  </si>
  <si>
    <t>David Yates</t>
  </si>
  <si>
    <t>Daniel Radcliffe</t>
  </si>
  <si>
    <t>Okuribito</t>
  </si>
  <si>
    <t>YÃ´jirÃ´ Takita</t>
  </si>
  <si>
    <t>Masahiro Motoki</t>
  </si>
  <si>
    <t>Hachi: A Dog's Tale</t>
  </si>
  <si>
    <t>Lasse HallstrÃ¶m</t>
  </si>
  <si>
    <t>Richard Gere</t>
  </si>
  <si>
    <t>Mary and Max</t>
  </si>
  <si>
    <t>Adam Elliot</t>
  </si>
  <si>
    <t>Toni Collette</t>
  </si>
  <si>
    <t>How to Train Your Dragon</t>
  </si>
  <si>
    <t>Dean DeBlois</t>
  </si>
  <si>
    <t>Chris Sanders</t>
  </si>
  <si>
    <t>Into the Wild</t>
  </si>
  <si>
    <t>Sean Penn</t>
  </si>
  <si>
    <t>Emile Hirsch</t>
  </si>
  <si>
    <t>No Country for Old Men</t>
  </si>
  <si>
    <t>Ethan Coen</t>
  </si>
  <si>
    <t>Joel Coen</t>
  </si>
  <si>
    <t>Lage Raho Munna Bhai</t>
  </si>
  <si>
    <t>Sanjay Dutt</t>
  </si>
  <si>
    <t>Million Dollar Baby</t>
  </si>
  <si>
    <t>Hilary Swank</t>
  </si>
  <si>
    <t>Hotel Rwanda</t>
  </si>
  <si>
    <t>Terry George</t>
  </si>
  <si>
    <t>Don Cheadle</t>
  </si>
  <si>
    <t>Taegukgi hwinalrimyeo</t>
  </si>
  <si>
    <t>Je-kyu Kang</t>
  </si>
  <si>
    <t>Jang Dong-Gun</t>
  </si>
  <si>
    <t>Before Sunset</t>
  </si>
  <si>
    <t>Richard Linklater</t>
  </si>
  <si>
    <t>Ethan Hawke</t>
  </si>
  <si>
    <t>Munna Bhai M.B.B.S.</t>
  </si>
  <si>
    <t>Salinui chueok</t>
  </si>
  <si>
    <t>Dil Chahta Hai</t>
  </si>
  <si>
    <t>Kill Bill: Vol. 1</t>
  </si>
  <si>
    <t>Uma Thurman</t>
  </si>
  <si>
    <t>Finding Nemo</t>
  </si>
  <si>
    <t>Catch Me If You Can</t>
  </si>
  <si>
    <t>Amores perros</t>
  </si>
  <si>
    <t>Alejandro G. IÃ±Ã¡rritu</t>
  </si>
  <si>
    <t>Emilio EchevarrÃ­a</t>
  </si>
  <si>
    <t>Monsters, Inc.</t>
  </si>
  <si>
    <t>David Silverman</t>
  </si>
  <si>
    <t>Shin seiki Evangelion GekijÃ´-ban: Air/Magokoro wo, kimi ni</t>
  </si>
  <si>
    <t>Hideaki Anno</t>
  </si>
  <si>
    <t>Kazuya Tsurumaki</t>
  </si>
  <si>
    <t>Lagaan: Once Upon a Time in India</t>
  </si>
  <si>
    <t>The Sixth Sense</t>
  </si>
  <si>
    <t>M. Night Shyamalan</t>
  </si>
  <si>
    <t>La leggenda del pianista sull'oceano</t>
  </si>
  <si>
    <t>Tim Roth</t>
  </si>
  <si>
    <t>The Truman Show</t>
  </si>
  <si>
    <t>Peter Weir</t>
  </si>
  <si>
    <t>Crna macka, beli macor</t>
  </si>
  <si>
    <t>Bajram Severdzan</t>
  </si>
  <si>
    <t>The Big Lebowski</t>
  </si>
  <si>
    <t>Fa yeung nin wah</t>
  </si>
  <si>
    <t>Kar-Wai Wong</t>
  </si>
  <si>
    <t>Tony Chiu-Wai Leung</t>
  </si>
  <si>
    <t>Trainspotting</t>
  </si>
  <si>
    <t>Danny Boyle</t>
  </si>
  <si>
    <t>Ewan McGregor</t>
  </si>
  <si>
    <t>Fargo</t>
  </si>
  <si>
    <t>Underground</t>
  </si>
  <si>
    <t>Predrag 'Miki' Manojlovic</t>
  </si>
  <si>
    <t>La haine</t>
  </si>
  <si>
    <t>Mathieu Kassovitz</t>
  </si>
  <si>
    <t>Vincent Cassel</t>
  </si>
  <si>
    <t>Dilwale Dulhania Le Jayenge</t>
  </si>
  <si>
    <t>Aditya Chopra</t>
  </si>
  <si>
    <t>Before Sunrise</t>
  </si>
  <si>
    <t>Trois couleurs: Rouge</t>
  </si>
  <si>
    <t>Krzysztof Kieslowski</t>
  </si>
  <si>
    <t>IrÃ¨ne Jacob</t>
  </si>
  <si>
    <t>Chung Hing sam lam</t>
  </si>
  <si>
    <t>Brigitte Lin</t>
  </si>
  <si>
    <t>Jurassic Park</t>
  </si>
  <si>
    <t>Sam Neill</t>
  </si>
  <si>
    <t>In the Name of the Father</t>
  </si>
  <si>
    <t>Jim Sheridan</t>
  </si>
  <si>
    <t>Ba wang bie ji</t>
  </si>
  <si>
    <t>Kaige Chen</t>
  </si>
  <si>
    <t>Leslie Cheung</t>
  </si>
  <si>
    <t>DÃ  hÃ³ng denglong gaogao guÃ </t>
  </si>
  <si>
    <t>Yimou Zhang</t>
  </si>
  <si>
    <t>Gong Li</t>
  </si>
  <si>
    <t>Dead Poets Society</t>
  </si>
  <si>
    <t>Stand by Me</t>
  </si>
  <si>
    <t>Rob Reiner</t>
  </si>
  <si>
    <t>Wil Wheaton</t>
  </si>
  <si>
    <t>Platoon</t>
  </si>
  <si>
    <t>Oliver Stone</t>
  </si>
  <si>
    <t>Charlie Sheen</t>
  </si>
  <si>
    <t>Paris, Texas</t>
  </si>
  <si>
    <t>Wim Wenders</t>
  </si>
  <si>
    <t>Harry Dean Stanton</t>
  </si>
  <si>
    <t>Kaze no tani no Naushika</t>
  </si>
  <si>
    <t>Sumi Shimamoto</t>
  </si>
  <si>
    <t>The Thing</t>
  </si>
  <si>
    <t>John Carpenter</t>
  </si>
  <si>
    <t>Kurt Russell</t>
  </si>
  <si>
    <t>Pink Floyd: The Wall</t>
  </si>
  <si>
    <t>Alan Parker</t>
  </si>
  <si>
    <t>Bob Geldof</t>
  </si>
  <si>
    <t>Fitzcarraldo</t>
  </si>
  <si>
    <t>Werner Herzog</t>
  </si>
  <si>
    <t>Klaus Kinski</t>
  </si>
  <si>
    <t>Fanny och Alexander</t>
  </si>
  <si>
    <t>Bertil Guve</t>
  </si>
  <si>
    <t>Blade Runner</t>
  </si>
  <si>
    <t>The Elephant Man</t>
  </si>
  <si>
    <t>David Lynch</t>
  </si>
  <si>
    <t>Anthony Hopkins</t>
  </si>
  <si>
    <t>Life of Brian</t>
  </si>
  <si>
    <t>Graham Chapman</t>
  </si>
  <si>
    <t>The Deer Hunter</t>
  </si>
  <si>
    <t>Michael Cimino</t>
  </si>
  <si>
    <t>Rocky</t>
  </si>
  <si>
    <t>John G. Avildsen</t>
  </si>
  <si>
    <t>Sylvester Stallone</t>
  </si>
  <si>
    <t>Network</t>
  </si>
  <si>
    <t>Faye Dunaway</t>
  </si>
  <si>
    <t>Barry Lyndon</t>
  </si>
  <si>
    <t>Ryan O'Neal</t>
  </si>
  <si>
    <t>Zerkalo</t>
  </si>
  <si>
    <t>Margarita Terekhova</t>
  </si>
  <si>
    <t>Chinatown</t>
  </si>
  <si>
    <t>Paper Moon</t>
  </si>
  <si>
    <t>Peter Bogdanovich</t>
  </si>
  <si>
    <t>Viskningar och rop</t>
  </si>
  <si>
    <t>Harriet Andersson</t>
  </si>
  <si>
    <t>Solaris</t>
  </si>
  <si>
    <t>Natalya Bondarchuk</t>
  </si>
  <si>
    <t>Le samouraÃ¯</t>
  </si>
  <si>
    <t>Jean-Pierre Melville</t>
  </si>
  <si>
    <t>Alain Delon</t>
  </si>
  <si>
    <t>Cool Hand Luke</t>
  </si>
  <si>
    <t>Stuart Rosenberg</t>
  </si>
  <si>
    <t>Persona</t>
  </si>
  <si>
    <t>Bibi Andersson</t>
  </si>
  <si>
    <t>Andrei Rublev</t>
  </si>
  <si>
    <t>Anatoliy Solonitsyn</t>
  </si>
  <si>
    <t>La battaglia di Algeri</t>
  </si>
  <si>
    <t>Gillo Pontecorvo</t>
  </si>
  <si>
    <t>Brahim Hadjadj</t>
  </si>
  <si>
    <t>El Ã¡ngel exterminador</t>
  </si>
  <si>
    <t>Luis BuÃ±uel</t>
  </si>
  <si>
    <t>Silvia Pinal</t>
  </si>
  <si>
    <t>What Ever Happened to Baby Jane?</t>
  </si>
  <si>
    <t>Robert Aldrich</t>
  </si>
  <si>
    <t>Sanjuro</t>
  </si>
  <si>
    <t>The Man Who Shot Liberty Valance</t>
  </si>
  <si>
    <t>John Ford</t>
  </si>
  <si>
    <t>Ivanovo detstvo</t>
  </si>
  <si>
    <t>Eduard Abalov</t>
  </si>
  <si>
    <t>JungfrukÃ¤llan</t>
  </si>
  <si>
    <t>Inherit the Wind</t>
  </si>
  <si>
    <t>Les quatre cents coups</t>
  </si>
  <si>
    <t>FranÃ§ois Truffaut</t>
  </si>
  <si>
    <t>Jean-Pierre LÃ©aud</t>
  </si>
  <si>
    <t>Ben-Hur</t>
  </si>
  <si>
    <t>William Wyler</t>
  </si>
  <si>
    <t>Charlton Heston</t>
  </si>
  <si>
    <t>Kakushi-toride no san-akunin</t>
  </si>
  <si>
    <t>Le notti di Cabiria</t>
  </si>
  <si>
    <t>Federico Fellini</t>
  </si>
  <si>
    <t>Giulietta Masina</t>
  </si>
  <si>
    <t>Kumonosu-jÃ´</t>
  </si>
  <si>
    <t>The Bridge on the River Kwai</t>
  </si>
  <si>
    <t>On the Waterfront</t>
  </si>
  <si>
    <t>Elia Kazan</t>
  </si>
  <si>
    <t>Le salaire de la peur</t>
  </si>
  <si>
    <t>Henri-Georges Clouzot</t>
  </si>
  <si>
    <t>Yves Montand</t>
  </si>
  <si>
    <t>Ace in the Hole</t>
  </si>
  <si>
    <t>White Heat</t>
  </si>
  <si>
    <t>Raoul Walsh</t>
  </si>
  <si>
    <t>James Cagney</t>
  </si>
  <si>
    <t>The Third Man</t>
  </si>
  <si>
    <t>Film-Noir</t>
  </si>
  <si>
    <t>Carol Reed</t>
  </si>
  <si>
    <t>The Red Shoes</t>
  </si>
  <si>
    <t>Michael Powell</t>
  </si>
  <si>
    <t>Emeric Pressburger</t>
  </si>
  <si>
    <t>The Shop Around the Corner</t>
  </si>
  <si>
    <t>Margaret Sullavan</t>
  </si>
  <si>
    <t>Rebecca</t>
  </si>
  <si>
    <t>Laurence Olivier</t>
  </si>
  <si>
    <t>Mr. Smith Goes to Washington</t>
  </si>
  <si>
    <t>Gone with the Wind</t>
  </si>
  <si>
    <t>Victor Fleming</t>
  </si>
  <si>
    <t>George Cukor</t>
  </si>
  <si>
    <t>La Grande Illusion</t>
  </si>
  <si>
    <t>Jean Renoir</t>
  </si>
  <si>
    <t>Jean Gabin</t>
  </si>
  <si>
    <t>It Happened One Night</t>
  </si>
  <si>
    <t>Clark Gable</t>
  </si>
  <si>
    <t>La passion de Jeanne d'Arc</t>
  </si>
  <si>
    <t>Carl Theodor Dreyer</t>
  </si>
  <si>
    <t>Maria Falconetti</t>
  </si>
  <si>
    <t>The Circus</t>
  </si>
  <si>
    <t>Sunrise: A Song of Two Humans</t>
  </si>
  <si>
    <t>F.W. Murnau</t>
  </si>
  <si>
    <t>George O'Brien</t>
  </si>
  <si>
    <t>The General</t>
  </si>
  <si>
    <t>Clyde Bruckman</t>
  </si>
  <si>
    <t>Das Cabinet des Dr. Caligari</t>
  </si>
  <si>
    <t>Fantasy</t>
  </si>
  <si>
    <t>Robert Wiene</t>
  </si>
  <si>
    <t>Werner Krauss</t>
  </si>
  <si>
    <t>Badhaai ho</t>
  </si>
  <si>
    <t>Amit Ravindernath Sharma</t>
  </si>
  <si>
    <t>Togo</t>
  </si>
  <si>
    <t>Ericson Core</t>
  </si>
  <si>
    <t>Willem Dafoe</t>
  </si>
  <si>
    <t>Airlift</t>
  </si>
  <si>
    <t>Raja Menon</t>
  </si>
  <si>
    <t>Bajrangi Bhaijaan</t>
  </si>
  <si>
    <t>Kabir Khan</t>
  </si>
  <si>
    <t>Salman Khan</t>
  </si>
  <si>
    <t>Baby</t>
  </si>
  <si>
    <t>La La Land</t>
  </si>
  <si>
    <t>Ryan Gosling</t>
  </si>
  <si>
    <t>Lion</t>
  </si>
  <si>
    <t>Garth Davis</t>
  </si>
  <si>
    <t>Dev Patel</t>
  </si>
  <si>
    <t>The Martian</t>
  </si>
  <si>
    <t>Zootopia</t>
  </si>
  <si>
    <t>Byron Howard</t>
  </si>
  <si>
    <t>Rich Moore</t>
  </si>
  <si>
    <t>BÃ£hubali: The Beginning</t>
  </si>
  <si>
    <t>Kaguyahime no monogatari</t>
  </si>
  <si>
    <t>ChloÃ« Grace Moretz</t>
  </si>
  <si>
    <t>Wonder</t>
  </si>
  <si>
    <t>Stephen Chbosky</t>
  </si>
  <si>
    <t>Jacob Tremblay</t>
  </si>
  <si>
    <t>Gully Boy</t>
  </si>
  <si>
    <t>Vijay Varma</t>
  </si>
  <si>
    <t>Special Chabbis</t>
  </si>
  <si>
    <t>Short Term 12</t>
  </si>
  <si>
    <t>Destin Daniel Cretton</t>
  </si>
  <si>
    <t>Serbuan maut 2: Berandal</t>
  </si>
  <si>
    <t>Gareth Evans</t>
  </si>
  <si>
    <t>Iko Uwais</t>
  </si>
  <si>
    <t>The Imitation Game</t>
  </si>
  <si>
    <t>Morten Tyldum</t>
  </si>
  <si>
    <t>Benedict Cumberbatch</t>
  </si>
  <si>
    <t>Guardians of the Galaxy</t>
  </si>
  <si>
    <t>James Gunn</t>
  </si>
  <si>
    <t>Chris Pratt</t>
  </si>
  <si>
    <t>Blade Runner 2049</t>
  </si>
  <si>
    <t>Her</t>
  </si>
  <si>
    <t>Spike Jonze</t>
  </si>
  <si>
    <t>Bohemian Rhapsody</t>
  </si>
  <si>
    <t>Rami Malek</t>
  </si>
  <si>
    <t>The Revenant</t>
  </si>
  <si>
    <t>The Perks of Being a Wallflower</t>
  </si>
  <si>
    <t>Logan Lerman</t>
  </si>
  <si>
    <t>Tropa de Elite 2: O Inimigo Agora Ã© Outro</t>
  </si>
  <si>
    <t>JosÃ© Padilha</t>
  </si>
  <si>
    <t>Wagner Moura</t>
  </si>
  <si>
    <t>The King's Speech</t>
  </si>
  <si>
    <t>Tom Hooper</t>
  </si>
  <si>
    <t>Colin Firth</t>
  </si>
  <si>
    <t>The Help</t>
  </si>
  <si>
    <t>Tate Taylor</t>
  </si>
  <si>
    <t>Emma Stone</t>
  </si>
  <si>
    <t>Deadpool</t>
  </si>
  <si>
    <t>Tim Miller</t>
  </si>
  <si>
    <t>Ryan Reynolds</t>
  </si>
  <si>
    <t>Darbareye Elly</t>
  </si>
  <si>
    <t>Golshifteh Farahani</t>
  </si>
  <si>
    <t>Dev.D</t>
  </si>
  <si>
    <t>Abhay Deol</t>
  </si>
  <si>
    <t>Yip Man</t>
  </si>
  <si>
    <t>Wilson Yip</t>
  </si>
  <si>
    <t>Donnie Yen</t>
  </si>
  <si>
    <t>My Name Is Khan</t>
  </si>
  <si>
    <t>Karan Johar</t>
  </si>
  <si>
    <t>Nefes: Vatan Sagolsun</t>
  </si>
  <si>
    <t>Levent Semerci</t>
  </si>
  <si>
    <t>Slumdog Millionaire</t>
  </si>
  <si>
    <t>Loveleen Tandan</t>
  </si>
  <si>
    <t>Black Swan</t>
  </si>
  <si>
    <t>Natalie Portman</t>
  </si>
  <si>
    <t>Tropa de Elite</t>
  </si>
  <si>
    <t>The Avengers</t>
  </si>
  <si>
    <t>Joss Whedon</t>
  </si>
  <si>
    <t>Robert Downey Jr.</t>
  </si>
  <si>
    <t>Persepolis</t>
  </si>
  <si>
    <t>Vincent Paronnaud</t>
  </si>
  <si>
    <t>Marjane Satrapi</t>
  </si>
  <si>
    <t>Dallas Buyers Club</t>
  </si>
  <si>
    <t>Jean-Marc VallÃ©e</t>
  </si>
  <si>
    <t>The Pursuit of Happyness</t>
  </si>
  <si>
    <t>Gabriele Muccino</t>
  </si>
  <si>
    <t>Will Smith</t>
  </si>
  <si>
    <t>Blood Diamond</t>
  </si>
  <si>
    <t>Edward Zwick</t>
  </si>
  <si>
    <t>The Bourne Ultimatum</t>
  </si>
  <si>
    <t>Paul Greengrass</t>
  </si>
  <si>
    <t>Bin-jip</t>
  </si>
  <si>
    <t>Ki-duk Kim</t>
  </si>
  <si>
    <t>Seung-Yun Lee</t>
  </si>
  <si>
    <t>Sin City</t>
  </si>
  <si>
    <t>Frank Miller</t>
  </si>
  <si>
    <t>Le scaphandre et le papillon</t>
  </si>
  <si>
    <t>Julian Schnabel</t>
  </si>
  <si>
    <t>Laura Obiols</t>
  </si>
  <si>
    <t>G.O.R.A.</t>
  </si>
  <si>
    <t>Ã–mer Faruk Sorak</t>
  </si>
  <si>
    <t>Cem Yilmaz</t>
  </si>
  <si>
    <t>Ratatouille</t>
  </si>
  <si>
    <t>Brad Bird</t>
  </si>
  <si>
    <t>Jan Pinkava</t>
  </si>
  <si>
    <t>Casino Royale</t>
  </si>
  <si>
    <t>Martin Campbell</t>
  </si>
  <si>
    <t>Daniel Craig</t>
  </si>
  <si>
    <t>Kill Bill: Vol. 2</t>
  </si>
  <si>
    <t>Vozvrashchenie</t>
  </si>
  <si>
    <t>Andrey Zvyagintsev</t>
  </si>
  <si>
    <t>Vladimir Garin</t>
  </si>
  <si>
    <t>Bom Yeoareum Gaeul Gyeoul Geurigo Bom</t>
  </si>
  <si>
    <t>Mar adentro</t>
  </si>
  <si>
    <t>Alejandro AmenÃ¡bar</t>
  </si>
  <si>
    <t>Javier Bardem</t>
  </si>
  <si>
    <t>Cinderella Man</t>
  </si>
  <si>
    <t>Kal Ho Naa Ho</t>
  </si>
  <si>
    <t>Nikkhil Advani</t>
  </si>
  <si>
    <t>Preity Zinta</t>
  </si>
  <si>
    <t>Mou gaan dou</t>
  </si>
  <si>
    <t>Andrew Lau</t>
  </si>
  <si>
    <t>Alan Mak</t>
  </si>
  <si>
    <t>Pirates of the Caribbean: The Curse of the Black Pearl</t>
  </si>
  <si>
    <t>Gore Verbinski</t>
  </si>
  <si>
    <t>Johnny Depp</t>
  </si>
  <si>
    <t>Big Fish</t>
  </si>
  <si>
    <t>Tim Burton</t>
  </si>
  <si>
    <t>The Incredibles</t>
  </si>
  <si>
    <t>Craig T. Nelson</t>
  </si>
  <si>
    <t>Yeopgijeogin geunyeo</t>
  </si>
  <si>
    <t>Jae-young Kwak</t>
  </si>
  <si>
    <t>Tae-Hyun Cha</t>
  </si>
  <si>
    <t>Dogville</t>
  </si>
  <si>
    <t>Lars von Trier</t>
  </si>
  <si>
    <t>Nicole Kidman</t>
  </si>
  <si>
    <t>Vizontele</t>
  </si>
  <si>
    <t>Yilmaz Erdogan</t>
  </si>
  <si>
    <t>Donnie Darko</t>
  </si>
  <si>
    <t>Richard Kelly</t>
  </si>
  <si>
    <t>Jake Gyllenhaal</t>
  </si>
  <si>
    <t>Magnolia</t>
  </si>
  <si>
    <t>Tom Cruise</t>
  </si>
  <si>
    <t>Dancer in the Dark</t>
  </si>
  <si>
    <t>BjÃ¶rk</t>
  </si>
  <si>
    <t>The Straight Story</t>
  </si>
  <si>
    <t>Richard Farnsworth</t>
  </si>
  <si>
    <t>PÃ¢fekuto burÃ»</t>
  </si>
  <si>
    <t>Satoshi Kon</t>
  </si>
  <si>
    <t>Junko Iwao</t>
  </si>
  <si>
    <t>Festen</t>
  </si>
  <si>
    <t>Ulrich Thomsen</t>
  </si>
  <si>
    <t>Central do Brasil</t>
  </si>
  <si>
    <t>Walter Salles</t>
  </si>
  <si>
    <t>Fernanda Montenegro</t>
  </si>
  <si>
    <t>The Iron Giant</t>
  </si>
  <si>
    <t>Eli Marienthal</t>
  </si>
  <si>
    <t>Knockin' on Heaven's Door</t>
  </si>
  <si>
    <t>Thomas Jahn</t>
  </si>
  <si>
    <t>Til Schweiger</t>
  </si>
  <si>
    <t>Sling Blade</t>
  </si>
  <si>
    <t>Billy Bob Thornton</t>
  </si>
  <si>
    <t>Secrets &amp; Lies</t>
  </si>
  <si>
    <t>Mike Leigh</t>
  </si>
  <si>
    <t>Timothy Spall</t>
  </si>
  <si>
    <t>Twelve Monkeys</t>
  </si>
  <si>
    <t>KÃ´kaku KidÃ´tai</t>
  </si>
  <si>
    <t>Mamoru Oshii</t>
  </si>
  <si>
    <t>Atsuko Tanaka</t>
  </si>
  <si>
    <t>The Nightmare Before Christmas</t>
  </si>
  <si>
    <t>Henry Selick</t>
  </si>
  <si>
    <t>Danny Elfman</t>
  </si>
  <si>
    <t>Groundhog Day</t>
  </si>
  <si>
    <t>Harold Ramis</t>
  </si>
  <si>
    <t>Bill Murray</t>
  </si>
  <si>
    <t>Bound by Honor</t>
  </si>
  <si>
    <t>Taylor Hackford</t>
  </si>
  <si>
    <t>Damian Chapa</t>
  </si>
  <si>
    <t>Scent of a Woman</t>
  </si>
  <si>
    <t>Martin Brest</t>
  </si>
  <si>
    <t>Aladdin</t>
  </si>
  <si>
    <t>Ron Clements</t>
  </si>
  <si>
    <t>John Musker</t>
  </si>
  <si>
    <t>JFK</t>
  </si>
  <si>
    <t>Kevin Costner</t>
  </si>
  <si>
    <t>Beauty and the Beast</t>
  </si>
  <si>
    <t>Gary Trousdale</t>
  </si>
  <si>
    <t>Kirk Wise</t>
  </si>
  <si>
    <t>Dances with Wolves</t>
  </si>
  <si>
    <t>Do the Right Thing</t>
  </si>
  <si>
    <t>Spike Lee</t>
  </si>
  <si>
    <t>Danny Aiello</t>
  </si>
  <si>
    <t>Rain Man</t>
  </si>
  <si>
    <t>Barry Levinson</t>
  </si>
  <si>
    <t>Dustin Hoffman</t>
  </si>
  <si>
    <t>Akira</t>
  </si>
  <si>
    <t>Katsuhiro Ã”tomo</t>
  </si>
  <si>
    <t>Mitsuo Iwata</t>
  </si>
  <si>
    <t>The Princess Bride</t>
  </si>
  <si>
    <t>Cary Elwes</t>
  </si>
  <si>
    <t>Der Himmel Ã¼ber Berlin</t>
  </si>
  <si>
    <t>Au revoir les enfants</t>
  </si>
  <si>
    <t>Louis Malle</t>
  </si>
  <si>
    <t>Gaspard Manesse</t>
  </si>
  <si>
    <t>TenkÃ» no shiro Rapyuta</t>
  </si>
  <si>
    <t>Mayumi Tanaka</t>
  </si>
  <si>
    <t>The Terminator</t>
  </si>
  <si>
    <t>Gandhi</t>
  </si>
  <si>
    <t>Richard Attenborough</t>
  </si>
  <si>
    <t>Ben Kingsley</t>
  </si>
  <si>
    <t>Kagemusha</t>
  </si>
  <si>
    <t>Being There</t>
  </si>
  <si>
    <t>Hal Ashby</t>
  </si>
  <si>
    <t>Annie Hall</t>
  </si>
  <si>
    <t>Woody Allen</t>
  </si>
  <si>
    <t>Jaws</t>
  </si>
  <si>
    <t>Roy Scheider</t>
  </si>
  <si>
    <t>Dog Day Afternoon</t>
  </si>
  <si>
    <t>Young Frankenstein</t>
  </si>
  <si>
    <t>Mel Brooks</t>
  </si>
  <si>
    <t>Gene Wilder</t>
  </si>
  <si>
    <t>Papillon</t>
  </si>
  <si>
    <t>Franklin J. Schaffner</t>
  </si>
  <si>
    <t>The Exorcist</t>
  </si>
  <si>
    <t>William Friedkin</t>
  </si>
  <si>
    <t>Sleuth</t>
  </si>
  <si>
    <t>The Last Picture Show</t>
  </si>
  <si>
    <t>Timothy Bottoms</t>
  </si>
  <si>
    <t>Fiddler on the Roof</t>
  </si>
  <si>
    <t>Norman Jewison</t>
  </si>
  <si>
    <t>Topol</t>
  </si>
  <si>
    <t>Il conformista</t>
  </si>
  <si>
    <t>Bernardo Bertolucci</t>
  </si>
  <si>
    <t>Jean-Louis Trintignant</t>
  </si>
  <si>
    <t>Butch Cassidy and the Sundance Kid</t>
  </si>
  <si>
    <t>Rosemary's Baby</t>
  </si>
  <si>
    <t>Mia Farrow</t>
  </si>
  <si>
    <t>Planet of the Apes</t>
  </si>
  <si>
    <t>The Graduate</t>
  </si>
  <si>
    <t>Mike Nichols</t>
  </si>
  <si>
    <t>Who's Afraid of Virginia Woolf?</t>
  </si>
  <si>
    <t>Elizabeth Taylor</t>
  </si>
  <si>
    <t>The Sound of Music</t>
  </si>
  <si>
    <t>Robert Wise</t>
  </si>
  <si>
    <t>Julie Andrews</t>
  </si>
  <si>
    <t>Doctor Zhivago</t>
  </si>
  <si>
    <t>Omar Sharif</t>
  </si>
  <si>
    <t>Per un pugno di dollari</t>
  </si>
  <si>
    <t>8Â½</t>
  </si>
  <si>
    <t>Marcello Mastroianni</t>
  </si>
  <si>
    <t>Vivre sa vie: Film en douze tableaux</t>
  </si>
  <si>
    <t>Jean-Luc Godard</t>
  </si>
  <si>
    <t>Anna Karina</t>
  </si>
  <si>
    <t>The Hustler</t>
  </si>
  <si>
    <t>Robert Rossen</t>
  </si>
  <si>
    <t>La dolce vita</t>
  </si>
  <si>
    <t>Rio Bravo</t>
  </si>
  <si>
    <t>Howard Hawks</t>
  </si>
  <si>
    <t>John Wayne</t>
  </si>
  <si>
    <t>Anatomy of a Murder</t>
  </si>
  <si>
    <t>Otto Preminger</t>
  </si>
  <si>
    <t>Touch of Evil</t>
  </si>
  <si>
    <t>Cat on a Hot Tin Roof</t>
  </si>
  <si>
    <t>Richard Brooks</t>
  </si>
  <si>
    <t>Sweet Smell of Success</t>
  </si>
  <si>
    <t>Alexander Mackendrick</t>
  </si>
  <si>
    <t>Burt Lancaster</t>
  </si>
  <si>
    <t>The Killing</t>
  </si>
  <si>
    <t>Sterling Hayden</t>
  </si>
  <si>
    <t>The Night of the Hunter</t>
  </si>
  <si>
    <t>Charles Laughton</t>
  </si>
  <si>
    <t>Robert Mitchum</t>
  </si>
  <si>
    <t>La Strada</t>
  </si>
  <si>
    <t>Les diaboliques</t>
  </si>
  <si>
    <t>Simone Signoret</t>
  </si>
  <si>
    <t>Stalag 17</t>
  </si>
  <si>
    <t>Roman Holiday</t>
  </si>
  <si>
    <t>A Streetcar Named Desire</t>
  </si>
  <si>
    <t>Vivien Leigh</t>
  </si>
  <si>
    <t>In a Lonely Place</t>
  </si>
  <si>
    <t>Nicholas Ray</t>
  </si>
  <si>
    <t>Kind Hearts and Coronets</t>
  </si>
  <si>
    <t>Robert Hamer</t>
  </si>
  <si>
    <t>Dennis Price</t>
  </si>
  <si>
    <t>Rope</t>
  </si>
  <si>
    <t>Out of the Past</t>
  </si>
  <si>
    <t>Jacques Tourneur</t>
  </si>
  <si>
    <t>Brief Encounter</t>
  </si>
  <si>
    <t>Celia Johnson</t>
  </si>
  <si>
    <t>Laura</t>
  </si>
  <si>
    <t>Gene Tierney</t>
  </si>
  <si>
    <t>The Best Years of Our Lives</t>
  </si>
  <si>
    <t>Myrna Loy</t>
  </si>
  <si>
    <t>Arsenic and Old Lace</t>
  </si>
  <si>
    <t>The Maltese Falcon</t>
  </si>
  <si>
    <t>The Grapes of Wrath</t>
  </si>
  <si>
    <t>The Wizard of Oz</t>
  </si>
  <si>
    <t>La rÃ¨gle du jeu</t>
  </si>
  <si>
    <t>Marcel Dalio</t>
  </si>
  <si>
    <t>The Thin Man</t>
  </si>
  <si>
    <t>W.S. Van Dyke</t>
  </si>
  <si>
    <t>William Powell</t>
  </si>
  <si>
    <t>All Quiet on the Western Front</t>
  </si>
  <si>
    <t>Lewis Milestone</t>
  </si>
  <si>
    <t>Lew Ayres</t>
  </si>
  <si>
    <t>Bronenosets Potemkin</t>
  </si>
  <si>
    <t>Sergei M. Eisenstein</t>
  </si>
  <si>
    <t>Aleksandr Antonov</t>
  </si>
  <si>
    <t>Knives Out</t>
  </si>
  <si>
    <t>Rian Johnson</t>
  </si>
  <si>
    <t>Dil Bechara</t>
  </si>
  <si>
    <t>Mukesh Chhabra</t>
  </si>
  <si>
    <t>Manbiki kazoku</t>
  </si>
  <si>
    <t>Hirokazu Koreeda</t>
  </si>
  <si>
    <t>Lily Franky</t>
  </si>
  <si>
    <t>Marriage Story</t>
  </si>
  <si>
    <t>Noah Baumbach</t>
  </si>
  <si>
    <t>Adam Driver</t>
  </si>
  <si>
    <t>Call Me by Your Name</t>
  </si>
  <si>
    <t>Luca Guadagnino</t>
  </si>
  <si>
    <t>Armie Hammer</t>
  </si>
  <si>
    <t>I, Daniel Blake</t>
  </si>
  <si>
    <t>Ken Loach</t>
  </si>
  <si>
    <t>Isle of Dogs</t>
  </si>
  <si>
    <t>Bryan Cranston</t>
  </si>
  <si>
    <t>Hunt for the Wilderpeople</t>
  </si>
  <si>
    <t>Taika Waititi</t>
  </si>
  <si>
    <t>Captain Fantastic</t>
  </si>
  <si>
    <t>Matt Ross</t>
  </si>
  <si>
    <t>Sing Street</t>
  </si>
  <si>
    <t>John Carney</t>
  </si>
  <si>
    <t>Ferdia Walsh-Peelo</t>
  </si>
  <si>
    <t>Thor: Ragnarok</t>
  </si>
  <si>
    <t>Chris Hemsworth</t>
  </si>
  <si>
    <t>Nightcrawler</t>
  </si>
  <si>
    <t>Dan Gilroy</t>
  </si>
  <si>
    <t>Jojo Rabbit</t>
  </si>
  <si>
    <t>Roman Griffin Davis</t>
  </si>
  <si>
    <t>Arrival</t>
  </si>
  <si>
    <t>Amy Adams</t>
  </si>
  <si>
    <t>Star Wars: Episode VII - The Force Awakens</t>
  </si>
  <si>
    <t>J.J. Abrams</t>
  </si>
  <si>
    <t>Daisy Ridley</t>
  </si>
  <si>
    <t>Before Midnight</t>
  </si>
  <si>
    <t>X-Men: Days of Future Past</t>
  </si>
  <si>
    <t>Patrick Stewart</t>
  </si>
  <si>
    <t>Bir Zamanlar Anadolu'da</t>
  </si>
  <si>
    <t>Muhammet Uzuner</t>
  </si>
  <si>
    <t>The Artist</t>
  </si>
  <si>
    <t>Michel Hazanavicius</t>
  </si>
  <si>
    <t>Jean Dujardin</t>
  </si>
  <si>
    <t>Edge of Tomorrow</t>
  </si>
  <si>
    <t>Doug Liman</t>
  </si>
  <si>
    <t>Amour</t>
  </si>
  <si>
    <t>Michael Haneke</t>
  </si>
  <si>
    <t>The Irishman</t>
  </si>
  <si>
    <t>Un prophÃ¨te</t>
  </si>
  <si>
    <t>Jacques Audiard</t>
  </si>
  <si>
    <t>Tahar Rahim</t>
  </si>
  <si>
    <t>Moon</t>
  </si>
  <si>
    <t>Duncan Jones</t>
  </si>
  <si>
    <t>Sam Rockwell</t>
  </si>
  <si>
    <t>LÃ¥t den rÃ¤tte komma in</t>
  </si>
  <si>
    <t>Tomas Alfredson</t>
  </si>
  <si>
    <t>KÃ¥re Hedebrant</t>
  </si>
  <si>
    <t>District 9</t>
  </si>
  <si>
    <t>Neill Blomkamp</t>
  </si>
  <si>
    <t>Sharlto Copley</t>
  </si>
  <si>
    <t>The Wrestler</t>
  </si>
  <si>
    <t>Mickey Rourke</t>
  </si>
  <si>
    <t>Jab We Met</t>
  </si>
  <si>
    <t>Imtiaz Ali</t>
  </si>
  <si>
    <t>Boyhood</t>
  </si>
  <si>
    <t>Ellar Coltrane</t>
  </si>
  <si>
    <t>4 luni, 3 saptamÃ¢ni si 2 zile</t>
  </si>
  <si>
    <t>Cristian Mungiu</t>
  </si>
  <si>
    <t>Anamaria Marinca</t>
  </si>
  <si>
    <t>Star Trek</t>
  </si>
  <si>
    <t>Chris Pine</t>
  </si>
  <si>
    <t>In Bruges</t>
  </si>
  <si>
    <t>Colin Farrell</t>
  </si>
  <si>
    <t>The Man from Earth</t>
  </si>
  <si>
    <t>Richard Schenkman</t>
  </si>
  <si>
    <t>David Lee Smith</t>
  </si>
  <si>
    <t>Letters from Iwo Jima</t>
  </si>
  <si>
    <t>Ken Watanabe</t>
  </si>
  <si>
    <t>The Fall</t>
  </si>
  <si>
    <t>Tarsem Singh</t>
  </si>
  <si>
    <t>Lee Pace</t>
  </si>
  <si>
    <t>Life of Pi</t>
  </si>
  <si>
    <t>Ang Lee</t>
  </si>
  <si>
    <t>Suraj Sharma</t>
  </si>
  <si>
    <t>Fantastic Mr. Fox</t>
  </si>
  <si>
    <t>George Clooney</t>
  </si>
  <si>
    <t>C.R.A.Z.Y.</t>
  </si>
  <si>
    <t>Michel CÃ´tÃ©</t>
  </si>
  <si>
    <t>Les choristes</t>
  </si>
  <si>
    <t>Christophe Barratier</t>
  </si>
  <si>
    <t>GÃ©rard Jugnot</t>
  </si>
  <si>
    <t>Iron Man</t>
  </si>
  <si>
    <t>Jon Favreau</t>
  </si>
  <si>
    <t>Shaun of the Dead</t>
  </si>
  <si>
    <t>Edgar Wright</t>
  </si>
  <si>
    <t>Simon Pegg</t>
  </si>
  <si>
    <t>Gegen die Wand</t>
  </si>
  <si>
    <t>Fatih Akin</t>
  </si>
  <si>
    <t>Birol Ãœnel</t>
  </si>
  <si>
    <t>Mystic River</t>
  </si>
  <si>
    <t>Harry Potter and the Prisoner of Azkaban</t>
  </si>
  <si>
    <t>Alfonso CuarÃ³n</t>
  </si>
  <si>
    <t>Ying xiong</t>
  </si>
  <si>
    <t>Jet Li</t>
  </si>
  <si>
    <t>Hable con ella</t>
  </si>
  <si>
    <t>Pedro AlmodÃ³var</t>
  </si>
  <si>
    <t>Rosario Flores</t>
  </si>
  <si>
    <t>No Man's Land</t>
  </si>
  <si>
    <t>Danis Tanovic</t>
  </si>
  <si>
    <t>Branko Djuric</t>
  </si>
  <si>
    <t>Cowboy Bebop: Tengoku no tobira</t>
  </si>
  <si>
    <t>Shin'ichirÃ´ Watanabe</t>
  </si>
  <si>
    <t>Tensai Okamura</t>
  </si>
  <si>
    <t>The Bourne Identity</t>
  </si>
  <si>
    <t>Franka Potente</t>
  </si>
  <si>
    <t>Nueve reinas</t>
  </si>
  <si>
    <t>FabiÃ¡n Bielinsky</t>
  </si>
  <si>
    <t>Children of Men</t>
  </si>
  <si>
    <t>Julianne Moore</t>
  </si>
  <si>
    <t>Almost Famous</t>
  </si>
  <si>
    <t>Cameron Crowe</t>
  </si>
  <si>
    <t>Billy Crudup</t>
  </si>
  <si>
    <t>Mulholland Dr.</t>
  </si>
  <si>
    <t>Naomi Watts</t>
  </si>
  <si>
    <t>Toy Story 2</t>
  </si>
  <si>
    <t>Ash Brannon</t>
  </si>
  <si>
    <t>Boogie Nights</t>
  </si>
  <si>
    <t>Mark Wahlberg</t>
  </si>
  <si>
    <t>Mimi wo sumaseba</t>
  </si>
  <si>
    <t>Yoshifumi KondÃ´</t>
  </si>
  <si>
    <t>Yoko Honna</t>
  </si>
  <si>
    <t>Once Were Warriors</t>
  </si>
  <si>
    <t>Lee Tamahori</t>
  </si>
  <si>
    <t>Rena Owen</t>
  </si>
  <si>
    <t>True Romance</t>
  </si>
  <si>
    <t>Tony Scott</t>
  </si>
  <si>
    <t>Christian Slater</t>
  </si>
  <si>
    <t>Trois couleurs: Bleu</t>
  </si>
  <si>
    <t>Juliette Binoche</t>
  </si>
  <si>
    <t>JÃ»bÃª ninpÃ»chÃ´</t>
  </si>
  <si>
    <t>Yoshiaki Kawajiri</t>
  </si>
  <si>
    <t>KÃ´ichi Yamadera</t>
  </si>
  <si>
    <t>Carlito's Way</t>
  </si>
  <si>
    <t>Edward Scissorhands</t>
  </si>
  <si>
    <t>My Left Foot: The Story of Christy Brown</t>
  </si>
  <si>
    <t>Crimes and Misdemeanors</t>
  </si>
  <si>
    <t>Martin Landau</t>
  </si>
  <si>
    <t>The Untouchables</t>
  </si>
  <si>
    <t>Hannah and Her Sisters</t>
  </si>
  <si>
    <t>Brazil</t>
  </si>
  <si>
    <t>Jonathan Pryce</t>
  </si>
  <si>
    <t>This Is Spinal Tap</t>
  </si>
  <si>
    <t>A Christmas Story</t>
  </si>
  <si>
    <t>Bob Clark</t>
  </si>
  <si>
    <t>Peter Billingsley</t>
  </si>
  <si>
    <t>The Blues Brothers</t>
  </si>
  <si>
    <t>John Landis</t>
  </si>
  <si>
    <t>John Belushi</t>
  </si>
  <si>
    <t>Manhattan</t>
  </si>
  <si>
    <t>All That Jazz</t>
  </si>
  <si>
    <t>Bob Fosse</t>
  </si>
  <si>
    <t>Dawn of the Dead</t>
  </si>
  <si>
    <t>George A. Romero</t>
  </si>
  <si>
    <t>David Emge</t>
  </si>
  <si>
    <t>All the President's Men</t>
  </si>
  <si>
    <t>Alan J. Pakula</t>
  </si>
  <si>
    <t>La montaÃ±a sagrada</t>
  </si>
  <si>
    <t>Alejandro Jodorowsky</t>
  </si>
  <si>
    <t>Amarcord</t>
  </si>
  <si>
    <t>Magali NoÃ«l</t>
  </si>
  <si>
    <t>Le charme discret de la bourgeoisie</t>
  </si>
  <si>
    <t>Fernando Rey</t>
  </si>
  <si>
    <t>Aguirre, der Zorn Gottes</t>
  </si>
  <si>
    <t>Harold and Maude</t>
  </si>
  <si>
    <t>Ruth Gordon</t>
  </si>
  <si>
    <t>Patton</t>
  </si>
  <si>
    <t>George C. Scott</t>
  </si>
  <si>
    <t>The Wild Bunch</t>
  </si>
  <si>
    <t>Sam Peckinpah</t>
  </si>
  <si>
    <t>Night of the Living Dead</t>
  </si>
  <si>
    <t>Duane Jones</t>
  </si>
  <si>
    <t>The Lion in Winter</t>
  </si>
  <si>
    <t>Anthony Harvey</t>
  </si>
  <si>
    <t>In the Heat of the Night</t>
  </si>
  <si>
    <t>Sidney Poitier</t>
  </si>
  <si>
    <t>Charade</t>
  </si>
  <si>
    <t>The Manchurian Candidate</t>
  </si>
  <si>
    <t>John Frankenheimer</t>
  </si>
  <si>
    <t>Frank Sinatra</t>
  </si>
  <si>
    <t>Spartacus</t>
  </si>
  <si>
    <t>L'avventura</t>
  </si>
  <si>
    <t>Michelangelo Antonioni</t>
  </si>
  <si>
    <t>Gabriele Ferzetti</t>
  </si>
  <si>
    <t>Hiroshima mon amour</t>
  </si>
  <si>
    <t>Alain Resnais</t>
  </si>
  <si>
    <t>Emmanuelle Riva</t>
  </si>
  <si>
    <t>The Ten Commandments</t>
  </si>
  <si>
    <t>Cecil B. DeMille</t>
  </si>
  <si>
    <t>The Searchers</t>
  </si>
  <si>
    <t>East of Eden</t>
  </si>
  <si>
    <t>James Dean</t>
  </si>
  <si>
    <t>High Noon</t>
  </si>
  <si>
    <t>Fred Zinnemann</t>
  </si>
  <si>
    <t>Gary Cooper</t>
  </si>
  <si>
    <t>Strangers on a Train</t>
  </si>
  <si>
    <t>Farley Granger</t>
  </si>
  <si>
    <t>Harvey</t>
  </si>
  <si>
    <t>Henry Koster</t>
  </si>
  <si>
    <t>Miracle on 34th Street</t>
  </si>
  <si>
    <t>George Seaton</t>
  </si>
  <si>
    <t>Edmund Gwenn</t>
  </si>
  <si>
    <t>Notorious</t>
  </si>
  <si>
    <t>The Big Sleep</t>
  </si>
  <si>
    <t>The Lost Weekend</t>
  </si>
  <si>
    <t>The Philadelphia Story</t>
  </si>
  <si>
    <t>His Girl Friday</t>
  </si>
  <si>
    <t>The Adventures of Robin Hood</t>
  </si>
  <si>
    <t>William Keighley</t>
  </si>
  <si>
    <t>A Night at the Opera</t>
  </si>
  <si>
    <t>Sam Wood</t>
  </si>
  <si>
    <t>Edmund Goulding</t>
  </si>
  <si>
    <t>King Kong</t>
  </si>
  <si>
    <t>Merian C. Cooper</t>
  </si>
  <si>
    <t>Ernest B. Schoedsack</t>
  </si>
  <si>
    <t>Freaks</t>
  </si>
  <si>
    <t>Tod Browning</t>
  </si>
  <si>
    <t>Wallace Ford</t>
  </si>
  <si>
    <t>Nosferatu</t>
  </si>
  <si>
    <t>Max Schreck</t>
  </si>
  <si>
    <t>The Gentlemen</t>
  </si>
  <si>
    <t>Raazi</t>
  </si>
  <si>
    <t>Alia Bhatt</t>
  </si>
  <si>
    <t>Sound of Metal</t>
  </si>
  <si>
    <t>Darius Marder</t>
  </si>
  <si>
    <t>Riz Ahmed</t>
  </si>
  <si>
    <t>Forushande</t>
  </si>
  <si>
    <t>Shahab Hosseini</t>
  </si>
  <si>
    <t>Dunkirk</t>
  </si>
  <si>
    <t>Fionn Whitehead</t>
  </si>
  <si>
    <t>Perfetti sconosciuti</t>
  </si>
  <si>
    <t>Paolo Genovese</t>
  </si>
  <si>
    <t>Giuseppe Battiston</t>
  </si>
  <si>
    <t>Hidden Figures</t>
  </si>
  <si>
    <t>Theodore Melfi</t>
  </si>
  <si>
    <t>Taraji P. Henson</t>
  </si>
  <si>
    <t>Paddington 2</t>
  </si>
  <si>
    <t>Paul King</t>
  </si>
  <si>
    <t>Ben Whishaw</t>
  </si>
  <si>
    <t>Udta Punjab</t>
  </si>
  <si>
    <t>Abhishek Chaubey</t>
  </si>
  <si>
    <t>Kubo and the Two Strings</t>
  </si>
  <si>
    <t>Travis Knight</t>
  </si>
  <si>
    <t>Charlize Theron</t>
  </si>
  <si>
    <t>M.S. Dhoni: The Untold Story</t>
  </si>
  <si>
    <t>Manchester by the Sea</t>
  </si>
  <si>
    <t>Kenneth Lonergan</t>
  </si>
  <si>
    <t>Casey Affleck</t>
  </si>
  <si>
    <t>Under sandet</t>
  </si>
  <si>
    <t>Martin Zandvliet</t>
  </si>
  <si>
    <t>Roland MÃ¸ller</t>
  </si>
  <si>
    <t>Rogue One</t>
  </si>
  <si>
    <t>Gareth Edwards</t>
  </si>
  <si>
    <t>Felicity Jones</t>
  </si>
  <si>
    <t>Captain America: Civil War</t>
  </si>
  <si>
    <t>The Hateful Eight</t>
  </si>
  <si>
    <t>Samuel L. Jackson</t>
  </si>
  <si>
    <t>Little Women</t>
  </si>
  <si>
    <t>Greta Gerwig</t>
  </si>
  <si>
    <t>Saoirse Ronan</t>
  </si>
  <si>
    <t>Loving Vincent</t>
  </si>
  <si>
    <t>Dorota Kobiela</t>
  </si>
  <si>
    <t>Hugh Welchman</t>
  </si>
  <si>
    <t>Pride</t>
  </si>
  <si>
    <t>Matthew Warchus</t>
  </si>
  <si>
    <t>Bill Nighy</t>
  </si>
  <si>
    <t>Le passÃ©</t>
  </si>
  <si>
    <t>BÃ©rÃ©nice Bejo</t>
  </si>
  <si>
    <t>La grande bellezza</t>
  </si>
  <si>
    <t>Paolo Sorrentino</t>
  </si>
  <si>
    <t>Toni Servillo</t>
  </si>
  <si>
    <t>The Lunchbox</t>
  </si>
  <si>
    <t>Ritesh Batra</t>
  </si>
  <si>
    <t>Vicky Donor</t>
  </si>
  <si>
    <t>Shoojit Sircar</t>
  </si>
  <si>
    <t>Big Hero 6</t>
  </si>
  <si>
    <t>Don Hall</t>
  </si>
  <si>
    <t>Chris Williams</t>
  </si>
  <si>
    <t>About Time</t>
  </si>
  <si>
    <t>Richard Curtis</t>
  </si>
  <si>
    <t>Domhnall Gleeson</t>
  </si>
  <si>
    <t>English Vinglish</t>
  </si>
  <si>
    <t>Gauri Shinde</t>
  </si>
  <si>
    <t>Sridevi</t>
  </si>
  <si>
    <t>Kaze tachinu</t>
  </si>
  <si>
    <t>Toy Story 4</t>
  </si>
  <si>
    <t>Josh Cooley</t>
  </si>
  <si>
    <t>La migliore offerta</t>
  </si>
  <si>
    <t>Geoffrey Rush</t>
  </si>
  <si>
    <t>Moonrise Kingdom</t>
  </si>
  <si>
    <t>Jared Gilman</t>
  </si>
  <si>
    <t>How to Train Your Dragon 2</t>
  </si>
  <si>
    <t>Jay Baruchel</t>
  </si>
  <si>
    <t>The Big Short</t>
  </si>
  <si>
    <t>Adam McKay</t>
  </si>
  <si>
    <t>Kokuhaku</t>
  </si>
  <si>
    <t>Tetsuya Nakashima</t>
  </si>
  <si>
    <t>Takako Matsu</t>
  </si>
  <si>
    <t>Ang-ma-reul bo-at-da</t>
  </si>
  <si>
    <t>Jee-woon Kim</t>
  </si>
  <si>
    <t>Lee Byung-Hun</t>
  </si>
  <si>
    <t>The Girl with the Dragon Tattoo</t>
  </si>
  <si>
    <t>Captain Phillips</t>
  </si>
  <si>
    <t>Ajeossi</t>
  </si>
  <si>
    <t>Jeong-beom Lee</t>
  </si>
  <si>
    <t>Won Bin</t>
  </si>
  <si>
    <t>Straight Outta Compton</t>
  </si>
  <si>
    <t>F. Gary Gray</t>
  </si>
  <si>
    <t>O'Shea Jackson Jr.</t>
  </si>
  <si>
    <t>Madeo</t>
  </si>
  <si>
    <t>Hye-ja Kim</t>
  </si>
  <si>
    <t>Chugyeokja</t>
  </si>
  <si>
    <t>Hong-jin Na</t>
  </si>
  <si>
    <t>Kim Yoon-seok</t>
  </si>
  <si>
    <t>The Hobbit: The Desolation of Smaug</t>
  </si>
  <si>
    <t>Ian McKellen</t>
  </si>
  <si>
    <t>Das weiÃŸe Band - Eine deutsche Kindergeschichte</t>
  </si>
  <si>
    <t>Christian Friedel</t>
  </si>
  <si>
    <t>MÃ¤n som hatar kvinnor</t>
  </si>
  <si>
    <t>Niels Arden Oplev</t>
  </si>
  <si>
    <t>Michael Nyqvist</t>
  </si>
  <si>
    <t>The Trial of the Chicago 7</t>
  </si>
  <si>
    <t>Aaron Sorkin</t>
  </si>
  <si>
    <t>Eddie Redmayne</t>
  </si>
  <si>
    <t>Druk</t>
  </si>
  <si>
    <t>The Fighter</t>
  </si>
  <si>
    <t>David O. Russell</t>
  </si>
  <si>
    <t>Taken</t>
  </si>
  <si>
    <t>Pierre Morel</t>
  </si>
  <si>
    <t>The Boy in the Striped Pyjamas</t>
  </si>
  <si>
    <t>Mark Herman</t>
  </si>
  <si>
    <t>Asa Butterfield</t>
  </si>
  <si>
    <t>Once</t>
  </si>
  <si>
    <t>Glen Hansard</t>
  </si>
  <si>
    <t>The Hobbit: An Unexpected Journey</t>
  </si>
  <si>
    <t>Martin Freeman</t>
  </si>
  <si>
    <t>Auf der anderen Seite</t>
  </si>
  <si>
    <t>Baki Davrak</t>
  </si>
  <si>
    <t>Atonement</t>
  </si>
  <si>
    <t>Joe Wright</t>
  </si>
  <si>
    <t>Keira Knightley</t>
  </si>
  <si>
    <t>Drive</t>
  </si>
  <si>
    <t>Nicolas Winding Refn</t>
  </si>
  <si>
    <t>American Gangster</t>
  </si>
  <si>
    <t>Denzel Washington</t>
  </si>
  <si>
    <t>Avatar</t>
  </si>
  <si>
    <t>Sam Worthington</t>
  </si>
  <si>
    <t>Mr. Nobody</t>
  </si>
  <si>
    <t>Jaco Van Dormael</t>
  </si>
  <si>
    <t>Jared Leto</t>
  </si>
  <si>
    <t>Apocalypto</t>
  </si>
  <si>
    <t>Gerardo Taracena</t>
  </si>
  <si>
    <t>Little Miss Sunshine</t>
  </si>
  <si>
    <t>Jonathan Dayton</t>
  </si>
  <si>
    <t>Valerie Faris</t>
  </si>
  <si>
    <t>Hot Fuzz</t>
  </si>
  <si>
    <t>The Curious Case of Benjamin Button</t>
  </si>
  <si>
    <t>Veer-Zaara</t>
  </si>
  <si>
    <t>Yash Chopra</t>
  </si>
  <si>
    <t>Adams Ã¦bler</t>
  </si>
  <si>
    <t>Anders Thomas Jensen</t>
  </si>
  <si>
    <t>Pride &amp; Prejudice</t>
  </si>
  <si>
    <t>The World's Fastest Indian</t>
  </si>
  <si>
    <t>Roger Donaldson</t>
  </si>
  <si>
    <t>TÃ´kyÃ´ goddofÃ¢zÃ¢zu</t>
  </si>
  <si>
    <t>ShÃ´go Furuya</t>
  </si>
  <si>
    <t>Serenity</t>
  </si>
  <si>
    <t>Nathan Fillion</t>
  </si>
  <si>
    <t>Walk the Line</t>
  </si>
  <si>
    <t>Ondskan</t>
  </si>
  <si>
    <t>Mikael HÃ¥fstrÃ¶m</t>
  </si>
  <si>
    <t>Andreas Wilson</t>
  </si>
  <si>
    <t>The Notebook</t>
  </si>
  <si>
    <t>Nick Cassavetes</t>
  </si>
  <si>
    <t>Gena Rowlands</t>
  </si>
  <si>
    <t>Diarios de motocicleta</t>
  </si>
  <si>
    <t>Gael GarcÃ­a Bernal</t>
  </si>
  <si>
    <t>Lilja 4-ever</t>
  </si>
  <si>
    <t>Lukas Moodysson</t>
  </si>
  <si>
    <t>Oksana Akinshina</t>
  </si>
  <si>
    <t>Les triplettes de Belleville</t>
  </si>
  <si>
    <t>Sylvain Chomet</t>
  </si>
  <si>
    <t>MichÃ¨le Caucheteux</t>
  </si>
  <si>
    <t>Gongdong gyeongbi guyeok JSA</t>
  </si>
  <si>
    <t>Lee Yeong-ae</t>
  </si>
  <si>
    <t>The Count of Monte Cristo</t>
  </si>
  <si>
    <t>Kevin Reynolds</t>
  </si>
  <si>
    <t>Jim Caviezel</t>
  </si>
  <si>
    <t>Waking Life</t>
  </si>
  <si>
    <t>Remember the Titans</t>
  </si>
  <si>
    <t>Boaz Yakin</t>
  </si>
  <si>
    <t>Wo hu cang long</t>
  </si>
  <si>
    <t>Yun-Fat Chow</t>
  </si>
  <si>
    <t>Todo sobre mi madre</t>
  </si>
  <si>
    <t>Cecilia Roth</t>
  </si>
  <si>
    <t>Cast Away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</si>
  <si>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</si>
  <si>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</si>
  <si>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</si>
  <si>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</si>
  <si>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</si>
  <si>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</si>
  <si>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</si>
  <si>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Vicky Jenson</t>
  </si>
  <si>
    <t>Titanic</t>
  </si>
  <si>
    <t>Hana-bi</t>
  </si>
  <si>
    <t>Takeshi Kitano</t>
  </si>
  <si>
    <t>Gattaca</t>
  </si>
  <si>
    <t>Andrew Niccol</t>
  </si>
  <si>
    <t>The Game</t>
  </si>
  <si>
    <t>Michael Douglas</t>
  </si>
  <si>
    <t>Breaking the Waves</t>
  </si>
  <si>
    <t>Emily Watson</t>
  </si>
  <si>
    <t>Ed Wood</t>
  </si>
  <si>
    <t>What's Eating Gilbert Grape</t>
  </si>
  <si>
    <t>Tombstone</t>
  </si>
  <si>
    <t>George P. Cosmatos</t>
  </si>
  <si>
    <t>Kevin Jarre</t>
  </si>
  <si>
    <t>The Sandlot</t>
  </si>
  <si>
    <t>David Mickey Evans</t>
  </si>
  <si>
    <t>Tom Guiry</t>
  </si>
  <si>
    <t>The Remains of the Day</t>
  </si>
  <si>
    <t>James Ivory</t>
  </si>
  <si>
    <t>Naked</t>
  </si>
  <si>
    <t>David Thewlis</t>
  </si>
  <si>
    <t>The Fugitive</t>
  </si>
  <si>
    <t>Andrew Davis</t>
  </si>
  <si>
    <t>A Bronx Tale</t>
  </si>
  <si>
    <t>Batman: Mask of the Phantasm</t>
  </si>
  <si>
    <t>Kevin Altieri</t>
  </si>
  <si>
    <t>Boyd Kirkland</t>
  </si>
  <si>
    <t>Lat sau san taam</t>
  </si>
  <si>
    <t>John Woo</t>
  </si>
  <si>
    <t>Night on Earth</t>
  </si>
  <si>
    <t>Jim Jarmusch</t>
  </si>
  <si>
    <t>Winona Ryder</t>
  </si>
  <si>
    <t>La double vie de VÃ©ronique</t>
  </si>
  <si>
    <t>Boyz n the Hood</t>
  </si>
  <si>
    <t>John Singleton</t>
  </si>
  <si>
    <t>Cuba Gooding Jr.</t>
  </si>
  <si>
    <t>Misery</t>
  </si>
  <si>
    <t>James Caan</t>
  </si>
  <si>
    <t>Awakenings</t>
  </si>
  <si>
    <t>Penny Marshall</t>
  </si>
  <si>
    <t>Majo no takkyÃ»bin</t>
  </si>
  <si>
    <t>Kirsten Dunst</t>
  </si>
  <si>
    <t>Glory</t>
  </si>
  <si>
    <t>Matthew Broderick</t>
  </si>
  <si>
    <t>Dip huet seung hung</t>
  </si>
  <si>
    <t>Back to the Future Part II</t>
  </si>
  <si>
    <t>Mississippi Burning</t>
  </si>
  <si>
    <t>Gene Hackman</t>
  </si>
  <si>
    <t>Predator</t>
  </si>
  <si>
    <t>Evil Dead II</t>
  </si>
  <si>
    <t>Sam Raimi</t>
  </si>
  <si>
    <t>Bruce Campbell</t>
  </si>
  <si>
    <t>Ferris Bueller's Day Off</t>
  </si>
  <si>
    <t>John Hughes</t>
  </si>
  <si>
    <t>Down by Law</t>
  </si>
  <si>
    <t>Tom Waits</t>
  </si>
  <si>
    <t>The Goonies</t>
  </si>
  <si>
    <t>Richard Donner</t>
  </si>
  <si>
    <t>Sean Astin</t>
  </si>
  <si>
    <t>The Color Purple</t>
  </si>
  <si>
    <t>Danny Glover</t>
  </si>
  <si>
    <t>The Breakfast Club</t>
  </si>
  <si>
    <t>Emilio Estevez</t>
  </si>
  <si>
    <t>The Killing Fields</t>
  </si>
  <si>
    <t>Roland JoffÃ©</t>
  </si>
  <si>
    <t>Sam Waterston</t>
  </si>
  <si>
    <t>Ghostbusters</t>
  </si>
  <si>
    <t>Ivan Reitman</t>
  </si>
  <si>
    <t>The Right Stuff</t>
  </si>
  <si>
    <t>Philip Kaufman</t>
  </si>
  <si>
    <t>Sam Shepard</t>
  </si>
  <si>
    <t>The King of Comedy</t>
  </si>
  <si>
    <t>E.T. the Extra-Terrestrial</t>
  </si>
  <si>
    <t>Family</t>
  </si>
  <si>
    <t>Henry Thomas</t>
  </si>
  <si>
    <t>Kramer vs. Kramer</t>
  </si>
  <si>
    <t>Robert Benton</t>
  </si>
  <si>
    <t>Days of Heaven</t>
  </si>
  <si>
    <t>Terrence Malick</t>
  </si>
  <si>
    <t>The Outlaw Josey Wales</t>
  </si>
  <si>
    <t>The Man Who Would Be King</t>
  </si>
  <si>
    <t>Sean Connery</t>
  </si>
  <si>
    <t>The Conversation</t>
  </si>
  <si>
    <t>La planÃ¨te sauvage</t>
  </si>
  <si>
    <t>RenÃ© Laloux</t>
  </si>
  <si>
    <t>Barry Bostwick</t>
  </si>
  <si>
    <t>The Day of the Jackal</t>
  </si>
  <si>
    <t>Edward Fox</t>
  </si>
  <si>
    <t>Badlands</t>
  </si>
  <si>
    <t>Cabaret</t>
  </si>
  <si>
    <t>Liza Minnelli</t>
  </si>
  <si>
    <t>Willy Wonka &amp; the Chocolate Factory</t>
  </si>
  <si>
    <t>Mel Stuart</t>
  </si>
  <si>
    <t>Midnight Cowboy</t>
  </si>
  <si>
    <t>John Schlesinger</t>
  </si>
  <si>
    <t>Wait Until Dark</t>
  </si>
  <si>
    <t>Thriller</t>
  </si>
  <si>
    <t>Terence Young</t>
  </si>
  <si>
    <t>Audrey Hepburn</t>
  </si>
  <si>
    <t>Guess Who's Coming to Dinner</t>
  </si>
  <si>
    <t>Bonnie and Clyde</t>
  </si>
  <si>
    <t>Arthur Penn</t>
  </si>
  <si>
    <t>Warren Beatty</t>
  </si>
  <si>
    <t>My Fair Lady</t>
  </si>
  <si>
    <t>Mary Poppins</t>
  </si>
  <si>
    <t>Robert Stevenson</t>
  </si>
  <si>
    <t>The Longest Day</t>
  </si>
  <si>
    <t>Ken Annakin</t>
  </si>
  <si>
    <t>Andrew Marton</t>
  </si>
  <si>
    <t>Jules et Jim</t>
  </si>
  <si>
    <t>Jeanne Moreau</t>
  </si>
  <si>
    <t>The Innocents</t>
  </si>
  <si>
    <t>Jack Clayton</t>
  </si>
  <si>
    <t>Deborah Kerr</t>
  </si>
  <si>
    <t>Ã€ bout de souffle</t>
  </si>
  <si>
    <t>Jean-Paul Belmondo</t>
  </si>
  <si>
    <t>Red River</t>
  </si>
  <si>
    <t>Arthur Rosson</t>
  </si>
  <si>
    <t>Key Largo</t>
  </si>
  <si>
    <t>To Have and Have Not</t>
  </si>
  <si>
    <t>Shadow of a Doubt</t>
  </si>
  <si>
    <t>Teresa Wright</t>
  </si>
  <si>
    <t>Stagecoach</t>
  </si>
  <si>
    <t>The Lady Vanishes</t>
  </si>
  <si>
    <t>Margaret Lockwood</t>
  </si>
  <si>
    <t>Bringing Up Baby</t>
  </si>
  <si>
    <t>Katharine Hepburn</t>
  </si>
  <si>
    <t>Bride of Frankenstein</t>
  </si>
  <si>
    <t>James Whale</t>
  </si>
  <si>
    <t>Boris Karloff</t>
  </si>
  <si>
    <t>Duck Soup</t>
  </si>
  <si>
    <t>Leo McCarey</t>
  </si>
  <si>
    <t>Groucho Marx</t>
  </si>
  <si>
    <t>Scarface: The Shame of the Nation</t>
  </si>
  <si>
    <t>Richard Rosson</t>
  </si>
  <si>
    <t>Frankenstein</t>
  </si>
  <si>
    <t>Colin Clive</t>
  </si>
  <si>
    <t>Roma</t>
  </si>
  <si>
    <t>Yalitza Aparicio</t>
  </si>
  <si>
    <t>God's Own Country</t>
  </si>
  <si>
    <t>Francis Lee</t>
  </si>
  <si>
    <t>Josh O'Connor</t>
  </si>
  <si>
    <t>Deadpool 2</t>
  </si>
  <si>
    <t>David Leitch</t>
  </si>
  <si>
    <t>Wind River</t>
  </si>
  <si>
    <t>Taylor Sheridan</t>
  </si>
  <si>
    <t>Kelsey Asbille</t>
  </si>
  <si>
    <t>Get Out</t>
  </si>
  <si>
    <t>Jordan Peele</t>
  </si>
  <si>
    <t>Daniel Kaluuya</t>
  </si>
  <si>
    <t>Mission: Impossible - Fallout</t>
  </si>
  <si>
    <t>Christopher McQuarrie</t>
  </si>
  <si>
    <t>En man som heter Ove</t>
  </si>
  <si>
    <t>Hannes Holm</t>
  </si>
  <si>
    <t>Rolf LassgÃ¥rd</t>
  </si>
  <si>
    <t>What We Do in the Shadows</t>
  </si>
  <si>
    <t>Jemaine Clement</t>
  </si>
  <si>
    <t>Omoide no MÃ¢nÃ®</t>
  </si>
  <si>
    <t>James Simone</t>
  </si>
  <si>
    <t>Hiromasa Yonebayashi</t>
  </si>
  <si>
    <t>The Theory of Everything</t>
  </si>
  <si>
    <t>James Marsh</t>
  </si>
  <si>
    <t>Kingsman: The Secret Service</t>
  </si>
  <si>
    <t>Matthew Vaughn</t>
  </si>
  <si>
    <t>The Fault in Our Stars</t>
  </si>
  <si>
    <t>Josh Boone</t>
  </si>
  <si>
    <t>Shailene Woodley</t>
  </si>
  <si>
    <t>Me and Earl and the Dying Girl</t>
  </si>
  <si>
    <t>Alfonso Gomez-Rejon</t>
  </si>
  <si>
    <t>Thomas Mann</t>
  </si>
  <si>
    <t>Birdman or (The Unexpected Virtue of Ignorance)</t>
  </si>
  <si>
    <t>Michael Keaton</t>
  </si>
  <si>
    <t>La vie d'AdÃ¨le</t>
  </si>
  <si>
    <t>Abdellatif Kechiche</t>
  </si>
  <si>
    <t>LÃ©a Seydoux</t>
  </si>
  <si>
    <t>Kai po che!</t>
  </si>
  <si>
    <t>Abhishek Kapoor</t>
  </si>
  <si>
    <t>Amit Sadh</t>
  </si>
  <si>
    <t>The Broken Circle Breakdown</t>
  </si>
  <si>
    <t>Felix van Groeningen</t>
  </si>
  <si>
    <t>Veerle Baetens</t>
  </si>
  <si>
    <t>Captain America: The Winter Soldier</t>
  </si>
  <si>
    <t>Rockstar</t>
  </si>
  <si>
    <t>Nebraska</t>
  </si>
  <si>
    <t>Alexander Payne</t>
  </si>
  <si>
    <t>Bruce Dern</t>
  </si>
  <si>
    <t>Wreck-It Ralph</t>
  </si>
  <si>
    <t>John C. Reilly</t>
  </si>
  <si>
    <t>Le Petit Prince</t>
  </si>
  <si>
    <t>Mark Osborne</t>
  </si>
  <si>
    <t>Jeff Bridges</t>
  </si>
  <si>
    <t>Detachment</t>
  </si>
  <si>
    <t>Midnight in Paris</t>
  </si>
  <si>
    <t>Owen Wilson</t>
  </si>
  <si>
    <t>The Lego Movie</t>
  </si>
  <si>
    <t>Christopher Miller</t>
  </si>
  <si>
    <t>Phil Lord</t>
  </si>
  <si>
    <t>Gravity</t>
  </si>
  <si>
    <t>Sandra Bullock</t>
  </si>
  <si>
    <t>Star Trek Into Darkness</t>
  </si>
  <si>
    <t>Beasts of No Nation</t>
  </si>
  <si>
    <t>Cary Joji Fukunaga</t>
  </si>
  <si>
    <t>Abraham Attah</t>
  </si>
  <si>
    <t>The Social Network</t>
  </si>
  <si>
    <t>Jesse Eisenberg</t>
  </si>
  <si>
    <t>X: First Class</t>
  </si>
  <si>
    <t>James McAvoy</t>
  </si>
  <si>
    <t>The Hangover</t>
  </si>
  <si>
    <t>Zach Galifianakis</t>
  </si>
  <si>
    <t>Skyfall</t>
  </si>
  <si>
    <t>Silver Linings Playbook</t>
  </si>
  <si>
    <t>Bradley Cooper</t>
  </si>
  <si>
    <t>Argo</t>
  </si>
  <si>
    <t>(500) Days of Summer</t>
  </si>
  <si>
    <t>Marc Webb</t>
  </si>
  <si>
    <t>Zooey Deschanel</t>
  </si>
  <si>
    <t>Harry Potter and the Deathly Hallows: Part 1</t>
  </si>
  <si>
    <t>Gake no ue no Ponyo</t>
  </si>
  <si>
    <t>Cate Blanchett</t>
  </si>
  <si>
    <t>Frost/Nixon</t>
  </si>
  <si>
    <t>Frank Langella</t>
  </si>
  <si>
    <t>Papurika</t>
  </si>
  <si>
    <t>Megumi Hayashibara</t>
  </si>
  <si>
    <t>Changeling</t>
  </si>
  <si>
    <t>Angelina Jolie</t>
  </si>
  <si>
    <t>Flipped</t>
  </si>
  <si>
    <t>Madeline Carroll</t>
  </si>
  <si>
    <t>Toki o kakeru shÃ´jo</t>
  </si>
  <si>
    <t>Riisa Naka</t>
  </si>
  <si>
    <t>Death Note: Desu nÃ´to</t>
  </si>
  <si>
    <t>ShÃ»suke Kaneko</t>
  </si>
  <si>
    <t>Tatsuya Fujiwara</t>
  </si>
  <si>
    <t>This Is England</t>
  </si>
  <si>
    <t>Shane Meadows</t>
  </si>
  <si>
    <t>Thomas Turgoose</t>
  </si>
  <si>
    <t>Ex Machina</t>
  </si>
  <si>
    <t>Alex Garland</t>
  </si>
  <si>
    <t>Alicia Vikander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</si>
  <si>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</si>
  <si>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</si>
  <si>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</si>
  <si>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</si>
  <si>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</si>
  <si>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</si>
  <si>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</si>
  <si>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Josh Hartnett</t>
  </si>
  <si>
    <t>Joyeux NoÃ«l</t>
  </si>
  <si>
    <t>Christian Carion</t>
  </si>
  <si>
    <t>Diane Kruger</t>
  </si>
  <si>
    <t>Control</t>
  </si>
  <si>
    <t>Anton Corbijn</t>
  </si>
  <si>
    <t>Sam Riley</t>
  </si>
  <si>
    <t>Tangled</t>
  </si>
  <si>
    <t>Nathan Greno</t>
  </si>
  <si>
    <t>Zwartboek</t>
  </si>
  <si>
    <t>Paul Verhoeven</t>
  </si>
  <si>
    <t>Carice van Houten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</si>
  <si>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</si>
  <si>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</si>
  <si>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</si>
  <si>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</si>
  <si>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</si>
  <si>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</si>
  <si>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</si>
  <si>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</si>
  <si>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</si>
  <si>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</si>
  <si>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</si>
  <si>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</si>
  <si>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</si>
  <si>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</si>
  <si>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</si>
  <si>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</si>
  <si>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Dakota Fanning</t>
  </si>
  <si>
    <t>The Last Samurai</t>
  </si>
  <si>
    <t>The Magdalene Sisters</t>
  </si>
  <si>
    <t>Peter Mullan</t>
  </si>
  <si>
    <t>Eileen Walsh</t>
  </si>
  <si>
    <t>Good Bye Lenin!</t>
  </si>
  <si>
    <t>Wolfgang Becker</t>
  </si>
  <si>
    <t>In America</t>
  </si>
  <si>
    <t>Paddy Considine</t>
  </si>
  <si>
    <t>I Am Sam</t>
  </si>
  <si>
    <t>Jessie Nelson</t>
  </si>
  <si>
    <t>Adaptation.</t>
  </si>
  <si>
    <t>Nicolas Cage</t>
  </si>
  <si>
    <t>Black Hawk Down</t>
  </si>
  <si>
    <t>Road to Perdition</t>
  </si>
  <si>
    <t>Das Experiment</t>
  </si>
  <si>
    <t>Moritz Bleibtreu</t>
  </si>
  <si>
    <t>Billy Elliot</t>
  </si>
  <si>
    <t>Stephen Daldry</t>
  </si>
  <si>
    <t>Jamie Bell</t>
  </si>
  <si>
    <t>Hedwig and the Angry Inch</t>
  </si>
  <si>
    <t>John Cameron Mitchell</t>
  </si>
  <si>
    <t>Ocean's Eleven</t>
  </si>
  <si>
    <t>Steven Soderbergh</t>
  </si>
  <si>
    <t>Vampire Hunter D: Bloodlust</t>
  </si>
  <si>
    <t>Andrew Philpot</t>
  </si>
  <si>
    <t>O Brother, Where Art Thou?</t>
  </si>
  <si>
    <t>Interstate 60: Episodes of the Road</t>
  </si>
  <si>
    <t>Bob Gale</t>
  </si>
  <si>
    <t>James Marsden</t>
  </si>
  <si>
    <t>South Park: Bigger, Longer &amp; Uncut</t>
  </si>
  <si>
    <t>Trey Parker</t>
  </si>
  <si>
    <t>Office Space</t>
  </si>
  <si>
    <t>Mike Judge</t>
  </si>
  <si>
    <t>Ron Livingston</t>
  </si>
  <si>
    <t>Happiness</t>
  </si>
  <si>
    <t>Todd Solondz</t>
  </si>
  <si>
    <t>Jane Adams</t>
  </si>
  <si>
    <t>Training Day</t>
  </si>
  <si>
    <t>Antoine Fuqua</t>
  </si>
  <si>
    <t>Rushmore</t>
  </si>
  <si>
    <t>Jason Schwartzman</t>
  </si>
  <si>
    <t>Abre los ojos</t>
  </si>
  <si>
    <t>Eduardo Noriega</t>
  </si>
  <si>
    <t>Being John Malkovich</t>
  </si>
  <si>
    <t>John Cusack</t>
  </si>
  <si>
    <t>As Good as It Gets</t>
  </si>
  <si>
    <t>James L. Brooks</t>
  </si>
  <si>
    <t>The Fifth Element</t>
  </si>
  <si>
    <t>Le dÃ®ner de cons</t>
  </si>
  <si>
    <t>Francis Veber</t>
  </si>
  <si>
    <t>Thierry Lhermitte</t>
  </si>
  <si>
    <t>Donnie Brasco</t>
  </si>
  <si>
    <t>Shine</t>
  </si>
  <si>
    <t>Scott Hicks</t>
  </si>
  <si>
    <t>Primal Fear</t>
  </si>
  <si>
    <t>Gregory Hoblit</t>
  </si>
  <si>
    <t>Hamlet</t>
  </si>
  <si>
    <t>Kenneth Branagh</t>
  </si>
  <si>
    <t>A Little Princess</t>
  </si>
  <si>
    <t>Liesel Matthews</t>
  </si>
  <si>
    <t>Do lok tin si</t>
  </si>
  <si>
    <t>Leon Lai</t>
  </si>
  <si>
    <t>Il postino</t>
  </si>
  <si>
    <t>Michael Radford</t>
  </si>
  <si>
    <t>Massimo Troisi</t>
  </si>
  <si>
    <t>Clerks</t>
  </si>
  <si>
    <t>Kevin Smith</t>
  </si>
  <si>
    <t>Brian O'Halloran</t>
  </si>
  <si>
    <t>Short Cuts</t>
  </si>
  <si>
    <t>Robert Altman</t>
  </si>
  <si>
    <t>Andie MacDowell</t>
  </si>
  <si>
    <t>Philadelphia</t>
  </si>
  <si>
    <t>The Muppet Christmas Carol</t>
  </si>
  <si>
    <t>Brian Henson</t>
  </si>
  <si>
    <t>Michael Caine</t>
  </si>
  <si>
    <t>Malcolm X</t>
  </si>
  <si>
    <t>The Last of the Mohicans</t>
  </si>
  <si>
    <t>Kurenai no buta</t>
  </si>
  <si>
    <t>ShÃ»ichirÃ´ Moriyama</t>
  </si>
  <si>
    <t>Glengarry Glen Ross</t>
  </si>
  <si>
    <t>James Foley</t>
  </si>
  <si>
    <t>A Few Good Men</t>
  </si>
  <si>
    <t>Fried Green Tomatoes</t>
  </si>
  <si>
    <t>Jon Avnet</t>
  </si>
  <si>
    <t>Kathy Bates</t>
  </si>
  <si>
    <t>Barton Fink</t>
  </si>
  <si>
    <t>Miller's Crossing</t>
  </si>
  <si>
    <t>Who Framed Roger Rabbit</t>
  </si>
  <si>
    <t>Bob Hoskins</t>
  </si>
  <si>
    <t>Spoorloos</t>
  </si>
  <si>
    <t>George Sluizer</t>
  </si>
  <si>
    <t>Bernard-Pierre Donnadieu</t>
  </si>
  <si>
    <t>Withnail &amp; I</t>
  </si>
  <si>
    <t>Bruce Robinson</t>
  </si>
  <si>
    <t>Richard E. Grant</t>
  </si>
  <si>
    <t>The Last Emperor</t>
  </si>
  <si>
    <t>John Lone</t>
  </si>
  <si>
    <t>Empire of the Sun</t>
  </si>
  <si>
    <t>Der Name der Rose</t>
  </si>
  <si>
    <t>Jean-Jacques Annaud</t>
  </si>
  <si>
    <t>Blue Velvet</t>
  </si>
  <si>
    <t>Isabella Rossellini</t>
  </si>
  <si>
    <t>The Purple Rose of Cairo</t>
  </si>
  <si>
    <t>After Hours</t>
  </si>
  <si>
    <t>Griffin Dunne</t>
  </si>
  <si>
    <t>Zelig</t>
  </si>
  <si>
    <t>The Verdict</t>
  </si>
  <si>
    <t>Star Trek II: The Wrath of Khan</t>
  </si>
  <si>
    <t>Nicholas Meyer</t>
  </si>
  <si>
    <t>William Shatner</t>
  </si>
  <si>
    <t>First Blood</t>
  </si>
  <si>
    <t>Ted Kotcheff</t>
  </si>
  <si>
    <t>Ordinary People</t>
  </si>
  <si>
    <t>Robert Redford</t>
  </si>
  <si>
    <t>Donald Sutherland</t>
  </si>
  <si>
    <t>Airplane!</t>
  </si>
  <si>
    <t>Jim Abrahams</t>
  </si>
  <si>
    <t>David Zucker</t>
  </si>
  <si>
    <t>Rupan sansei: Kariosutoro no shiro</t>
  </si>
  <si>
    <t>Yasuo Yamada</t>
  </si>
  <si>
    <t>Halloween</t>
  </si>
  <si>
    <t>Donald Pleasence</t>
  </si>
  <si>
    <t>Le locataire</t>
  </si>
  <si>
    <t>Love and Death</t>
  </si>
  <si>
    <t>The Taking of Pelham One Two Three</t>
  </si>
  <si>
    <t>Joseph Sargent</t>
  </si>
  <si>
    <t>Walter Matthau</t>
  </si>
  <si>
    <t>Blazing Saddles</t>
  </si>
  <si>
    <t>Cleavon Little</t>
  </si>
  <si>
    <t>Serpico</t>
  </si>
  <si>
    <t>Enter the Dragon</t>
  </si>
  <si>
    <t>Robert Clouse</t>
  </si>
  <si>
    <t>Bruce Lee</t>
  </si>
  <si>
    <t>Deliverance</t>
  </si>
  <si>
    <t>John Boorman</t>
  </si>
  <si>
    <t>Jon Voight</t>
  </si>
  <si>
    <t>The French Connection</t>
  </si>
  <si>
    <t>Dirty Harry</t>
  </si>
  <si>
    <t>Don Siegel</t>
  </si>
  <si>
    <t>Where Eagles Dare</t>
  </si>
  <si>
    <t>Brian G. Hutton</t>
  </si>
  <si>
    <t>Richard Burton</t>
  </si>
  <si>
    <t>The Odd Couple</t>
  </si>
  <si>
    <t>Gene Saks</t>
  </si>
  <si>
    <t>The Dirty Dozen</t>
  </si>
  <si>
    <t>Lee Marvin</t>
  </si>
  <si>
    <t>Belle de jour</t>
  </si>
  <si>
    <t>Catherine Deneuve</t>
  </si>
  <si>
    <t>A Man for All Seasons</t>
  </si>
  <si>
    <t>Paul Scofield</t>
  </si>
  <si>
    <t>Repulsion</t>
  </si>
  <si>
    <t>Zulu</t>
  </si>
  <si>
    <t>Cy Endfield</t>
  </si>
  <si>
    <t>Stanley Baker</t>
  </si>
  <si>
    <t>Goldfinger</t>
  </si>
  <si>
    <t>Guy Hamilton</t>
  </si>
  <si>
    <t>The Birds</t>
  </si>
  <si>
    <t>Rod Taylor</t>
  </si>
  <si>
    <t>Cape Fear</t>
  </si>
  <si>
    <t>J. Lee Thompson</t>
  </si>
  <si>
    <t>Peeping Tom</t>
  </si>
  <si>
    <t>Karlheinz BÃ¶hm</t>
  </si>
  <si>
    <t>The Magnificent Seven</t>
  </si>
  <si>
    <t>Yul Brynner</t>
  </si>
  <si>
    <t>Les yeux sans visage</t>
  </si>
  <si>
    <t>Georges Franju</t>
  </si>
  <si>
    <t>Pierre Brasseur</t>
  </si>
  <si>
    <t>Invasion of the Body Snatchers</t>
  </si>
  <si>
    <t>Kevin McCarthy</t>
  </si>
  <si>
    <t>Rebel Without a Cause</t>
  </si>
  <si>
    <t>The Ladykillers</t>
  </si>
  <si>
    <t>Alec Guinness</t>
  </si>
  <si>
    <t>Sabrina</t>
  </si>
  <si>
    <t>The Quiet Man</t>
  </si>
  <si>
    <t>The Day the Earth Stood Still</t>
  </si>
  <si>
    <t>Michael Rennie</t>
  </si>
  <si>
    <t>The African Queen</t>
  </si>
  <si>
    <t>Gilda</t>
  </si>
  <si>
    <t>Charles Vidor</t>
  </si>
  <si>
    <t>Rita Hayworth</t>
  </si>
  <si>
    <t>Fantasia</t>
  </si>
  <si>
    <t>James Algar</t>
  </si>
  <si>
    <t>Samuel Armstrong</t>
  </si>
  <si>
    <t>The Invisible Man</t>
  </si>
  <si>
    <t>Claude Rains</t>
  </si>
  <si>
    <t>Dark Waters</t>
  </si>
  <si>
    <t>Todd Haynes</t>
  </si>
  <si>
    <t>Searching</t>
  </si>
  <si>
    <t>Aneesh Chaganty</t>
  </si>
  <si>
    <t>John Cho</t>
  </si>
  <si>
    <t>Once Upon a Time... in Hollywood</t>
  </si>
  <si>
    <t>Nelyubov</t>
  </si>
  <si>
    <t>Maryana Spivak</t>
  </si>
  <si>
    <t>The Florida Project</t>
  </si>
  <si>
    <t>Sean Baker</t>
  </si>
  <si>
    <t>Brooklynn Prince</t>
  </si>
  <si>
    <t>Just Mercy</t>
  </si>
  <si>
    <t>Michael B. Jordan</t>
  </si>
  <si>
    <t>Gifted</t>
  </si>
  <si>
    <t>Chris Evans</t>
  </si>
  <si>
    <t>The Peanut Butter Falcon</t>
  </si>
  <si>
    <t>Tyler Nilson</t>
  </si>
  <si>
    <t>Michael Schwartz</t>
  </si>
  <si>
    <t>Victoria</t>
  </si>
  <si>
    <t>Sebastian Schipper</t>
  </si>
  <si>
    <t>Laia Costa</t>
  </si>
  <si>
    <t>Mustang</t>
  </si>
  <si>
    <t>Deniz Gamze ErgÃ¼ven</t>
  </si>
  <si>
    <t>GÃ¼nes Sensoy</t>
  </si>
  <si>
    <t>Guardians of the Galaxy Vol. 2</t>
  </si>
  <si>
    <t>Baby Driver</t>
  </si>
  <si>
    <t>Ansel Elgort</t>
  </si>
  <si>
    <t>Only the Brave</t>
  </si>
  <si>
    <t>Joseph Kosinski</t>
  </si>
  <si>
    <t>Josh Brolin</t>
  </si>
  <si>
    <t>Bridge of Spies</t>
  </si>
  <si>
    <t>Incredibles 2</t>
  </si>
  <si>
    <t>Moana</t>
  </si>
  <si>
    <t>Sicario</t>
  </si>
  <si>
    <t>Emily Blunt</t>
  </si>
  <si>
    <t>Creed</t>
  </si>
  <si>
    <t>Ryan Coogler</t>
  </si>
  <si>
    <t>Leviafan</t>
  </si>
  <si>
    <t>Aleksey Serebryakov</t>
  </si>
  <si>
    <t>Hell or High Water</t>
  </si>
  <si>
    <t>David Mackenzie</t>
  </si>
  <si>
    <t>Philomena</t>
  </si>
  <si>
    <t>Stephen Frears</t>
  </si>
  <si>
    <t>Judi Dench</t>
  </si>
  <si>
    <t>Dawn of the Planet of the Apes</t>
  </si>
  <si>
    <t>Matt Reeves</t>
  </si>
  <si>
    <t>Gary Oldman</t>
  </si>
  <si>
    <t>El cuerpo</t>
  </si>
  <si>
    <t>Jose Coronado</t>
  </si>
  <si>
    <t>Serbuan maut</t>
  </si>
  <si>
    <t>End of Watch</t>
  </si>
  <si>
    <t>David Ayer</t>
  </si>
  <si>
    <t>Kari-gurashi no Arietti</t>
  </si>
  <si>
    <t>Amy Poehler</t>
  </si>
  <si>
    <t>A Star Is Born</t>
  </si>
  <si>
    <t>Lady Gaga</t>
  </si>
  <si>
    <t>True Grit</t>
  </si>
  <si>
    <t>HÃ¦vnen</t>
  </si>
  <si>
    <t>Mikael Persbrandt</t>
  </si>
  <si>
    <t>Despicable Me</t>
  </si>
  <si>
    <t>Pierre Coffin</t>
  </si>
  <si>
    <t>Chris Renaud</t>
  </si>
  <si>
    <t>50/50</t>
  </si>
  <si>
    <t>Jonathan Levine</t>
  </si>
  <si>
    <t>Joseph Gordon-Levitt</t>
  </si>
  <si>
    <t>Kick-Ass</t>
  </si>
  <si>
    <t>Aaron Taylor-Johnson</t>
  </si>
  <si>
    <t>Celda 211</t>
  </si>
  <si>
    <t>Daniel MonzÃ³n</t>
  </si>
  <si>
    <t>Luis Tosar</t>
  </si>
  <si>
    <t>Moneyball</t>
  </si>
  <si>
    <t>Bennett Miller</t>
  </si>
  <si>
    <t>La piel que habito</t>
  </si>
  <si>
    <t>Antonio Banderas</t>
  </si>
  <si>
    <t>Zombieland</t>
  </si>
  <si>
    <t>Ruben Fleischer</t>
  </si>
  <si>
    <t>Die Welle</t>
  </si>
  <si>
    <t>Dennis Gansel</t>
  </si>
  <si>
    <t>JÃ¼rgen Vogel</t>
  </si>
  <si>
    <t>Sherlock Holmes</t>
  </si>
  <si>
    <t>The Blind Side</t>
  </si>
  <si>
    <t>John Lee Hancock</t>
  </si>
  <si>
    <t>Quinton Aaron</t>
  </si>
  <si>
    <t>The Visitor</t>
  </si>
  <si>
    <t>Richard Jenkins</t>
  </si>
  <si>
    <t>Seven Pounds</t>
  </si>
  <si>
    <t>Eastern Promises</t>
  </si>
  <si>
    <t>David Cronenberg</t>
  </si>
  <si>
    <t>Stardust</t>
  </si>
  <si>
    <t>Charlie Cox</t>
  </si>
  <si>
    <t>The Secret of Kells</t>
  </si>
  <si>
    <t>Nora Twomey</t>
  </si>
  <si>
    <t>Inside Man</t>
  </si>
  <si>
    <t>Gone Baby Gone</t>
  </si>
  <si>
    <t>La Vie En Rose</t>
  </si>
  <si>
    <t>Olivier Dahan</t>
  </si>
  <si>
    <t>Marion Cotillard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</si>
  <si>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</si>
  <si>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</si>
  <si>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</si>
  <si>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</si>
  <si>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</si>
  <si>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</si>
  <si>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Zack Snyder</t>
  </si>
  <si>
    <t>Gerard Butler</t>
  </si>
  <si>
    <t>Match Point</t>
  </si>
  <si>
    <t>Scarlett Johansson</t>
  </si>
  <si>
    <t>Watchmen</t>
  </si>
  <si>
    <t>Jackie Earle Haley</t>
  </si>
  <si>
    <t>Lord of War</t>
  </si>
  <si>
    <t>Saw</t>
  </si>
  <si>
    <t>James Wan</t>
  </si>
  <si>
    <t>Synecdoche, New York</t>
  </si>
  <si>
    <t>Charlie Kaufman</t>
  </si>
  <si>
    <t>Philip Seymour Hoffman</t>
  </si>
  <si>
    <t>Mysterious Skin</t>
  </si>
  <si>
    <t>Gregg Araki</t>
  </si>
  <si>
    <t>Brady Corbet</t>
  </si>
  <si>
    <t>Jeux d'enfants</t>
  </si>
  <si>
    <t>Yann Samuell</t>
  </si>
  <si>
    <t>Guillaume Canet</t>
  </si>
  <si>
    <t>Un long dimanche de fianÃ§ailles</t>
  </si>
  <si>
    <t>The Station Agent</t>
  </si>
  <si>
    <t>Peter Dinklage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</si>
  <si>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</si>
  <si>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</si>
  <si>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</si>
  <si>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</si>
  <si>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</si>
  <si>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</si>
  <si>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</si>
  <si>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J. Mackye Gruber</t>
  </si>
  <si>
    <t>28 Days Later...</t>
  </si>
  <si>
    <t>Cillian Murphy</t>
  </si>
  <si>
    <t>Batoru rowaiaru</t>
  </si>
  <si>
    <t>Kinji Fukasaku</t>
  </si>
  <si>
    <t>The Royal Tenenbaums</t>
  </si>
  <si>
    <t>Y tu mamÃ¡ tambiÃ©n</t>
  </si>
  <si>
    <t>Maribel VerdÃº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</si>
  <si>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</si>
  <si>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</si>
  <si>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</si>
  <si>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</si>
  <si>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</si>
  <si>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</si>
  <si>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Jude Law</t>
  </si>
  <si>
    <t>Minority Report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</si>
  <si>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</si>
  <si>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</si>
  <si>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</si>
  <si>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</si>
  <si>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</si>
  <si>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</si>
  <si>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</si>
  <si>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</si>
  <si>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Barry Cook</t>
  </si>
  <si>
    <t>Fear and Loathing in Las Vegas</t>
  </si>
  <si>
    <t>Funny Games</t>
  </si>
  <si>
    <t>Susanne Lothar</t>
  </si>
  <si>
    <t>Dark City</t>
  </si>
  <si>
    <t>Alex Proyas</t>
  </si>
  <si>
    <t>Rufus Sewell</t>
  </si>
  <si>
    <t>Sleepers</t>
  </si>
  <si>
    <t>Lost Highway</t>
  </si>
  <si>
    <t>Bill Pullman</t>
  </si>
  <si>
    <t>Sense and Sensibility</t>
  </si>
  <si>
    <t>Emma Thompson</t>
  </si>
  <si>
    <t>Die Hard: With a Vengeance</t>
  </si>
  <si>
    <t>Dead Man</t>
  </si>
  <si>
    <t>The Bridges of Madison County</t>
  </si>
  <si>
    <t>Apollo 13</t>
  </si>
  <si>
    <t>PG</t>
  </si>
  <si>
    <t>Trois couleurs: Blanc</t>
  </si>
  <si>
    <t>Zbigniew Zamachowski</t>
  </si>
  <si>
    <t>Falling Down</t>
  </si>
  <si>
    <t>Joel Schumacher</t>
  </si>
  <si>
    <t>Dazed and Confused</t>
  </si>
  <si>
    <t>Jason London</t>
  </si>
  <si>
    <t>My Cousin Vinny</t>
  </si>
  <si>
    <t>Jonathan Lynn</t>
  </si>
  <si>
    <t>Joe Pesci</t>
  </si>
  <si>
    <t>Omohide poro poro</t>
  </si>
  <si>
    <t>Miki Imai</t>
  </si>
  <si>
    <t>Delicatessen</t>
  </si>
  <si>
    <t>Marc Caro</t>
  </si>
  <si>
    <t>Home Alone</t>
  </si>
  <si>
    <t>Macaulay Culkin</t>
  </si>
  <si>
    <t>The Godfather: Part III</t>
  </si>
  <si>
    <t>When Harry Met Sally...</t>
  </si>
  <si>
    <t>Billy Crystal</t>
  </si>
  <si>
    <t>The Little Mermaid</t>
  </si>
  <si>
    <t>The Naked Gun: From the Files of Police Squad!</t>
  </si>
  <si>
    <t>Leslie Nielsen</t>
  </si>
  <si>
    <t>Planes, Trains &amp; Automobiles</t>
  </si>
  <si>
    <t>Steve Martin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</si>
  <si>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</si>
  <si>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</si>
  <si>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</si>
  <si>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</si>
  <si>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</si>
  <si>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</si>
  <si>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</si>
  <si>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Michael Beck</t>
  </si>
  <si>
    <t>The Muppet Movie</t>
  </si>
  <si>
    <t>James Frawley</t>
  </si>
  <si>
    <t>Jim Henson</t>
  </si>
  <si>
    <t>Escape from Alcatraz</t>
  </si>
  <si>
    <t>Watership Down</t>
  </si>
  <si>
    <t>Martin Rosen</t>
  </si>
  <si>
    <t>John Hubley</t>
  </si>
  <si>
    <t>Midnight Express</t>
  </si>
  <si>
    <t>Brad Davis</t>
  </si>
  <si>
    <t>Close Encounters of the Third Kind</t>
  </si>
  <si>
    <t>Richard Dreyfuss</t>
  </si>
  <si>
    <t>The Long Goodbye</t>
  </si>
  <si>
    <t>Elliott Gould</t>
  </si>
  <si>
    <t>GiÃ¹ la testa</t>
  </si>
  <si>
    <t>Rod Steiger</t>
  </si>
  <si>
    <t>Kelly's Heroes</t>
  </si>
  <si>
    <t>The Jungle Book</t>
  </si>
  <si>
    <t>Wolfgang Reitherman</t>
  </si>
  <si>
    <t>Phil Harris</t>
  </si>
  <si>
    <t>Blowup</t>
  </si>
  <si>
    <t>David Hemmings</t>
  </si>
  <si>
    <t>A Hard Day's Night</t>
  </si>
  <si>
    <t>Richard Lester</t>
  </si>
  <si>
    <t>John Lennon</t>
  </si>
  <si>
    <t>Breakfast at Tiffany's</t>
  </si>
  <si>
    <t>Blake Edwards</t>
  </si>
  <si>
    <t>Giant</t>
  </si>
  <si>
    <t>George Stevens</t>
  </si>
  <si>
    <t>From Here to Eternity</t>
  </si>
  <si>
    <t>Lifeboat</t>
  </si>
  <si>
    <t>Tallulah Bankhead</t>
  </si>
  <si>
    <t>The 39 Steps</t>
  </si>
  <si>
    <t>Robert Donat</t>
  </si>
  <si>
    <t>Entire Gross Revenue</t>
  </si>
  <si>
    <t>3rd Highest Revenue</t>
  </si>
  <si>
    <t>5th Lowest Runtime</t>
  </si>
  <si>
    <t>Column1</t>
  </si>
  <si>
    <t>Standard Deviation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</si>
</sst>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33" borderId="10" xfId="0" applyFont="1" applyFill="1" applyBorder="1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34" borderId="0" xfId="0" applyFont="1" applyFill="1" applyAlignment="1">
      <alignment horizontal="left" vertical="center"/>
    </xf>
    <xf numFmtId="2" fontId="16" fillId="34" borderId="0" xfId="0" applyNumberFormat="1" applyFont="1" applyFill="1" applyAlignment="1">
      <alignment horizontal="left" vertical="center"/>
    </xf>
    <xf numFmtId="0" fontId="16" fillId="34" borderId="10" xfId="0" applyFont="1" applyFill="1" applyBorder="1" applyAlignment="1">
      <alignment horizontal="left" vertical="center"/>
    </xf>
    <xf numFmtId="164" fontId="16" fillId="34" borderId="0" xfId="0" applyNumberFormat="1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966E4-95AA-4130-AB32-92DCD50A762D}" name="Table1" displayName="Table1" ref="A1:K1001" totalsRowShown="0" headerRowDxfId="1">
  <autoFilter ref="A1:K1001" xr:uid="{4F5966E4-95AA-4130-AB32-92DCD50A762D}"/>
  <sortState xmlns:xlrd2="http://schemas.microsoft.com/office/spreadsheetml/2017/richdata2" ref="A2:K1001">
    <sortCondition ref="C1:C1001"/>
  </sortState>
  <tableColumns count="11">
    <tableColumn id="1" xr3:uid="{CF2D5AFC-47C5-4BAF-9952-0C5725636A5E}" name="Series_Title"/>
    <tableColumn id="2" xr3:uid="{5BF3DE33-4389-42F7-B134-4F54B335BBD1}" name="Released_Year"/>
    <tableColumn id="3" xr3:uid="{09E1C73F-EDBC-4C82-A113-E6ADAC296F88}" name="Runtime"/>
    <tableColumn id="4" xr3:uid="{9A79B339-0C63-40B7-A45C-02ACDC43D5EF}" name="Genre"/>
    <tableColumn id="5" xr3:uid="{85A07B73-4809-4E80-98F3-FE6557ABBCC1}" name="IMDB_Rating"/>
    <tableColumn id="6" xr3:uid="{901330F7-CCA3-4338-848F-B2E996A76629}" name="Director"/>
    <tableColumn id="7" xr3:uid="{D65CE562-15A3-48D0-87E4-5ADB7A16824B}" name="Star1"/>
    <tableColumn id="8" xr3:uid="{4C7B3127-6789-4017-900A-AB3CC7389D1F}" name="No_of_Votes"/>
    <tableColumn id="9" xr3:uid="{EA9F5EA4-D824-4C80-A39B-18123BF5DC65}" name="Gross"/>
    <tableColumn id="10" xr3:uid="{E0CE9C76-3FFA-4631-AB81-7CE4E6C5AFAE}" name="Metascore"/>
    <tableColumn id="11" xr3:uid="{AB6B9243-9554-4017-BC52-59754EB76772}" name="Column1" dataDxfId="0">
      <calculatedColumnFormula array="1">_xlfn.IFS(Table1[[#This Row],[IMDB_Rating]]&gt;=9,"Masterpiece",Table1[[#This Row],[IMDB_Rating]]&gt;=8,"Excellent",Table1[[#This Row],[IMDB_Rating]]&gt;=7,"Good",Table1[[#This Row],[IMDB_Rating]]&lt;7,"Average")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tabSelected="1" topLeftCell="D1" workbookViewId="0">
      <selection activeCell="I5" sqref="I5"/>
    </sheetView>
  </sheetViews>
  <sheetFormatPr defaultRowHeight="14.5" x14ac:dyDescent="0.35"/>
  <cols>
    <col min="1" max="1" width="60.90625" bestFit="1" customWidth="1"/>
    <col min="2" max="2" width="15" customWidth="1"/>
    <col min="3" max="3" width="9.90625" customWidth="1"/>
    <col min="4" max="4" width="9.54296875" bestFit="1" customWidth="1"/>
    <col min="5" max="5" width="13.7265625" customWidth="1"/>
    <col min="6" max="6" width="30.1796875" bestFit="1" customWidth="1"/>
    <col min="7" max="7" width="23" bestFit="1" customWidth="1"/>
    <col min="8" max="8" width="13.7265625" customWidth="1"/>
    <col min="9" max="9" width="9.81640625" bestFit="1" customWidth="1"/>
    <col min="10" max="11" width="11.7265625" customWidth="1"/>
    <col min="13" max="13" width="28.1796875" style="4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2194</v>
      </c>
      <c r="M1" s="3"/>
    </row>
    <row r="2" spans="1:13" x14ac:dyDescent="0.35">
      <c r="A2" t="s">
        <v>482</v>
      </c>
      <c r="B2">
        <v>1924</v>
      </c>
      <c r="C2">
        <v>45</v>
      </c>
      <c r="D2" t="s">
        <v>19</v>
      </c>
      <c r="E2">
        <v>8.1999999999999993</v>
      </c>
      <c r="F2" t="s">
        <v>483</v>
      </c>
      <c r="G2" t="s">
        <v>483</v>
      </c>
      <c r="H2">
        <v>41985</v>
      </c>
      <c r="I2">
        <v>977375</v>
      </c>
      <c r="K2" t="str" cm="1">
        <f t="array" ref="K2">_xlfn.IFS(Table1[[#This Row],[IMDB_Rating]]&gt;=9,"Masterpiece",Table1[[#This Row],[IMDB_Rating]]&gt;=8,"Excellent",Table1[[#This Row],[IMDB_Rating]]&gt;=7,"Good",Table1[[#This Row],[IMDB_Rating]]&lt;7,"Average")</f>
        <v>Excellent</v>
      </c>
      <c r="M2" s="5" t="s">
        <v>2191</v>
      </c>
    </row>
    <row r="3" spans="1:13" x14ac:dyDescent="0.35">
      <c r="A3" t="s">
        <v>1307</v>
      </c>
      <c r="B3">
        <v>1932</v>
      </c>
      <c r="C3">
        <v>64</v>
      </c>
      <c r="D3" t="s">
        <v>11</v>
      </c>
      <c r="E3">
        <v>7.9</v>
      </c>
      <c r="F3" t="s">
        <v>1308</v>
      </c>
      <c r="G3" t="s">
        <v>1309</v>
      </c>
      <c r="H3">
        <v>42117</v>
      </c>
      <c r="I3">
        <v>355665088</v>
      </c>
      <c r="J3">
        <v>80</v>
      </c>
      <c r="K3" t="str" cm="1">
        <f t="array" ref="K3">_xlfn.IFS(Table1[[#This Row],[IMDB_Rating]]&gt;=9,"Masterpiece",Table1[[#This Row],[IMDB_Rating]]&gt;=8,"Excellent",Table1[[#This Row],[IMDB_Rating]]&gt;=7,"Good",Table1[[#This Row],[IMDB_Rating]]&lt;7,"Average")</f>
        <v>Good</v>
      </c>
      <c r="M3" s="6">
        <f>SUM(I:I)</f>
        <v>128278074841</v>
      </c>
    </row>
    <row r="4" spans="1:13" x14ac:dyDescent="0.35">
      <c r="A4" t="s">
        <v>769</v>
      </c>
      <c r="B4">
        <v>1926</v>
      </c>
      <c r="C4">
        <v>67</v>
      </c>
      <c r="D4" t="s">
        <v>19</v>
      </c>
      <c r="E4">
        <v>8.1</v>
      </c>
      <c r="F4" t="s">
        <v>770</v>
      </c>
      <c r="G4" t="s">
        <v>483</v>
      </c>
      <c r="H4">
        <v>81156</v>
      </c>
      <c r="I4">
        <v>1033895</v>
      </c>
      <c r="K4" t="str" cm="1">
        <f t="array" ref="K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" spans="1:13" x14ac:dyDescent="0.35">
      <c r="A5" t="s">
        <v>325</v>
      </c>
      <c r="B5">
        <v>1921</v>
      </c>
      <c r="C5">
        <v>68</v>
      </c>
      <c r="D5" t="s">
        <v>67</v>
      </c>
      <c r="E5">
        <v>8.3000000000000007</v>
      </c>
      <c r="F5" t="s">
        <v>152</v>
      </c>
      <c r="G5" t="s">
        <v>152</v>
      </c>
      <c r="H5">
        <v>113314</v>
      </c>
      <c r="I5">
        <v>5450000</v>
      </c>
      <c r="K5" t="str" cm="1">
        <f t="array" ref="K5">_xlfn.IFS(Table1[[#This Row],[IMDB_Rating]]&gt;=9,"Masterpiece",Table1[[#This Row],[IMDB_Rating]]&gt;=8,"Excellent",Table1[[#This Row],[IMDB_Rating]]&gt;=7,"Good",Table1[[#This Row],[IMDB_Rating]]&lt;7,"Average")</f>
        <v>Excellent</v>
      </c>
      <c r="M5" s="5" t="s">
        <v>2192</v>
      </c>
    </row>
    <row r="6" spans="1:13" x14ac:dyDescent="0.35">
      <c r="A6" t="s">
        <v>1626</v>
      </c>
      <c r="B6">
        <v>1933</v>
      </c>
      <c r="C6">
        <v>69</v>
      </c>
      <c r="D6" t="s">
        <v>67</v>
      </c>
      <c r="E6">
        <v>7.8</v>
      </c>
      <c r="F6" t="s">
        <v>1627</v>
      </c>
      <c r="G6" t="s">
        <v>1628</v>
      </c>
      <c r="H6">
        <v>55581</v>
      </c>
      <c r="I6">
        <v>350197185</v>
      </c>
      <c r="J6">
        <v>93</v>
      </c>
      <c r="K6" t="str" cm="1">
        <f t="array" ref="K6">_xlfn.IFS(Table1[[#This Row],[IMDB_Rating]]&gt;=9,"Masterpiece",Table1[[#This Row],[IMDB_Rating]]&gt;=8,"Excellent",Table1[[#This Row],[IMDB_Rating]]&gt;=7,"Good",Table1[[#This Row],[IMDB_Rating]]&lt;7,"Average")</f>
        <v>Good</v>
      </c>
      <c r="M6" s="7">
        <f>LARGE(I:I,3)</f>
        <v>924558264</v>
      </c>
    </row>
    <row r="7" spans="1:13" x14ac:dyDescent="0.35">
      <c r="A7" t="s">
        <v>1631</v>
      </c>
      <c r="B7">
        <v>1931</v>
      </c>
      <c r="C7">
        <v>70</v>
      </c>
      <c r="D7" t="s">
        <v>11</v>
      </c>
      <c r="E7">
        <v>7.8</v>
      </c>
      <c r="F7" t="s">
        <v>1624</v>
      </c>
      <c r="G7" t="s">
        <v>1632</v>
      </c>
      <c r="H7">
        <v>65341</v>
      </c>
      <c r="I7">
        <v>63617892</v>
      </c>
      <c r="J7">
        <v>91</v>
      </c>
      <c r="K7" t="str" cm="1">
        <f t="array" ref="K7">_xlfn.IFS(Table1[[#This Row],[IMDB_Rating]]&gt;=9,"Masterpiece",Table1[[#This Row],[IMDB_Rating]]&gt;=8,"Excellent",Table1[[#This Row],[IMDB_Rating]]&gt;=7,"Good",Table1[[#This Row],[IMDB_Rating]]&lt;7,"Average")</f>
        <v>Good</v>
      </c>
    </row>
    <row r="8" spans="1:13" x14ac:dyDescent="0.35">
      <c r="A8" t="s">
        <v>1953</v>
      </c>
      <c r="B8">
        <v>1933</v>
      </c>
      <c r="C8">
        <v>71</v>
      </c>
      <c r="D8" t="s">
        <v>145</v>
      </c>
      <c r="E8">
        <v>7.7</v>
      </c>
      <c r="F8" t="s">
        <v>1624</v>
      </c>
      <c r="G8" t="s">
        <v>1954</v>
      </c>
      <c r="H8">
        <v>30683</v>
      </c>
      <c r="I8">
        <v>298791505</v>
      </c>
      <c r="J8">
        <v>87</v>
      </c>
      <c r="K8" t="str" cm="1">
        <f t="array" ref="K8">_xlfn.IFS(Table1[[#This Row],[IMDB_Rating]]&gt;=9,"Masterpiece",Table1[[#This Row],[IMDB_Rating]]&gt;=8,"Excellent",Table1[[#This Row],[IMDB_Rating]]&gt;=7,"Good",Table1[[#This Row],[IMDB_Rating]]&lt;7,"Average")</f>
        <v>Good</v>
      </c>
      <c r="M8" s="5" t="s">
        <v>2193</v>
      </c>
    </row>
    <row r="9" spans="1:13" x14ac:dyDescent="0.35">
      <c r="A9" t="s">
        <v>2045</v>
      </c>
      <c r="B9">
        <v>2009</v>
      </c>
      <c r="C9">
        <v>71</v>
      </c>
      <c r="D9" t="s">
        <v>80</v>
      </c>
      <c r="E9">
        <v>7.6</v>
      </c>
      <c r="F9" t="s">
        <v>547</v>
      </c>
      <c r="G9" t="s">
        <v>2046</v>
      </c>
      <c r="H9">
        <v>31779</v>
      </c>
      <c r="I9">
        <v>686383</v>
      </c>
      <c r="J9">
        <v>81</v>
      </c>
      <c r="K9" t="str" cm="1">
        <f t="array" ref="K9">_xlfn.IFS(Table1[[#This Row],[IMDB_Rating]]&gt;=9,"Masterpiece",Table1[[#This Row],[IMDB_Rating]]&gt;=8,"Excellent",Table1[[#This Row],[IMDB_Rating]]&gt;=7,"Good",Table1[[#This Row],[IMDB_Rating]]&lt;7,"Average")</f>
        <v>Good</v>
      </c>
      <c r="M9" s="5">
        <f>SMALL(C:C,5)</f>
        <v>69</v>
      </c>
    </row>
    <row r="10" spans="1:13" x14ac:dyDescent="0.35">
      <c r="A10" t="s">
        <v>765</v>
      </c>
      <c r="B10">
        <v>1928</v>
      </c>
      <c r="C10">
        <v>72</v>
      </c>
      <c r="D10" t="s">
        <v>67</v>
      </c>
      <c r="E10">
        <v>8.1</v>
      </c>
      <c r="F10" t="s">
        <v>152</v>
      </c>
      <c r="G10" t="s">
        <v>152</v>
      </c>
      <c r="H10">
        <v>30205</v>
      </c>
      <c r="I10">
        <v>259701815</v>
      </c>
      <c r="J10">
        <v>90</v>
      </c>
      <c r="K10" t="str" cm="1">
        <f t="array" ref="K10">_xlfn.IFS(Table1[[#This Row],[IMDB_Rating]]&gt;=9,"Masterpiece",Table1[[#This Row],[IMDB_Rating]]&gt;=8,"Excellent",Table1[[#This Row],[IMDB_Rating]]&gt;=7,"Good",Table1[[#This Row],[IMDB_Rating]]&lt;7,"Average")</f>
        <v>Excellent</v>
      </c>
    </row>
    <row r="11" spans="1:13" x14ac:dyDescent="0.35">
      <c r="A11" t="s">
        <v>1579</v>
      </c>
      <c r="B11">
        <v>1973</v>
      </c>
      <c r="C11">
        <v>72</v>
      </c>
      <c r="D11" t="s">
        <v>80</v>
      </c>
      <c r="E11">
        <v>7.8</v>
      </c>
      <c r="F11" t="s">
        <v>1580</v>
      </c>
      <c r="G11" t="s">
        <v>1581</v>
      </c>
      <c r="H11">
        <v>25229</v>
      </c>
      <c r="I11">
        <v>193817</v>
      </c>
      <c r="J11">
        <v>73</v>
      </c>
      <c r="K11" t="str" cm="1">
        <f t="array" ref="K11">_xlfn.IFS(Table1[[#This Row],[IMDB_Rating]]&gt;=9,"Masterpiece",Table1[[#This Row],[IMDB_Rating]]&gt;=8,"Excellent",Table1[[#This Row],[IMDB_Rating]]&gt;=7,"Good",Table1[[#This Row],[IMDB_Rating]]&lt;7,"Average")</f>
        <v>Good</v>
      </c>
      <c r="M11" s="5" t="s">
        <v>2195</v>
      </c>
    </row>
    <row r="12" spans="1:13" x14ac:dyDescent="0.35">
      <c r="A12" t="s">
        <v>1623</v>
      </c>
      <c r="B12">
        <v>1935</v>
      </c>
      <c r="C12">
        <v>75</v>
      </c>
      <c r="D12" t="s">
        <v>11</v>
      </c>
      <c r="E12">
        <v>7.8</v>
      </c>
      <c r="F12" t="s">
        <v>1624</v>
      </c>
      <c r="G12" t="s">
        <v>1625</v>
      </c>
      <c r="H12">
        <v>43542</v>
      </c>
      <c r="I12">
        <v>4360000</v>
      </c>
      <c r="J12">
        <v>95</v>
      </c>
      <c r="K12" t="str" cm="1">
        <f t="array" ref="K12">_xlfn.IFS(Table1[[#This Row],[IMDB_Rating]]&gt;=9,"Masterpiece",Table1[[#This Row],[IMDB_Rating]]&gt;=8,"Excellent",Table1[[#This Row],[IMDB_Rating]]&gt;=7,"Good",Table1[[#This Row],[IMDB_Rating]]&lt;7,"Average")</f>
        <v>Good</v>
      </c>
      <c r="M12" s="8">
        <f>STDEV(I:I)</f>
        <v>201111008.64430261</v>
      </c>
    </row>
    <row r="13" spans="1:13" x14ac:dyDescent="0.35">
      <c r="A13" t="s">
        <v>1080</v>
      </c>
      <c r="B13">
        <v>1925</v>
      </c>
      <c r="C13">
        <v>75</v>
      </c>
      <c r="D13" t="s">
        <v>11</v>
      </c>
      <c r="E13">
        <v>8</v>
      </c>
      <c r="F13" t="s">
        <v>1081</v>
      </c>
      <c r="G13" t="s">
        <v>1082</v>
      </c>
      <c r="H13">
        <v>53054</v>
      </c>
      <c r="I13">
        <v>50970</v>
      </c>
      <c r="J13">
        <v>97</v>
      </c>
      <c r="K13" t="str" cm="1">
        <f t="array" ref="K13">_xlfn.IFS(Table1[[#This Row],[IMDB_Rating]]&gt;=9,"Masterpiece",Table1[[#This Row],[IMDB_Rating]]&gt;=8,"Excellent",Table1[[#This Row],[IMDB_Rating]]&gt;=7,"Good",Table1[[#This Row],[IMDB_Rating]]&lt;7,"Average")</f>
        <v>Excellent</v>
      </c>
    </row>
    <row r="14" spans="1:13" x14ac:dyDescent="0.35">
      <c r="A14" t="s">
        <v>771</v>
      </c>
      <c r="B14">
        <v>1920</v>
      </c>
      <c r="C14">
        <v>76</v>
      </c>
      <c r="D14" t="s">
        <v>772</v>
      </c>
      <c r="E14">
        <v>8.1</v>
      </c>
      <c r="F14" t="s">
        <v>773</v>
      </c>
      <c r="G14" t="s">
        <v>774</v>
      </c>
      <c r="H14">
        <v>57428</v>
      </c>
      <c r="I14">
        <v>337574718</v>
      </c>
      <c r="K14" t="str" cm="1">
        <f t="array" ref="K14">_xlfn.IFS(Table1[[#This Row],[IMDB_Rating]]&gt;=9,"Masterpiece",Table1[[#This Row],[IMDB_Rating]]&gt;=8,"Excellent",Table1[[#This Row],[IMDB_Rating]]&gt;=7,"Good",Table1[[#This Row],[IMDB_Rating]]&lt;7,"Average")</f>
        <v>Excellent</v>
      </c>
    </row>
    <row r="15" spans="1:13" x14ac:dyDescent="0.35">
      <c r="A15" t="s">
        <v>944</v>
      </c>
      <c r="B15">
        <v>1993</v>
      </c>
      <c r="C15">
        <v>76</v>
      </c>
      <c r="D15" t="s">
        <v>80</v>
      </c>
      <c r="E15">
        <v>8</v>
      </c>
      <c r="F15" t="s">
        <v>945</v>
      </c>
      <c r="G15" t="s">
        <v>946</v>
      </c>
      <c r="H15">
        <v>300208</v>
      </c>
      <c r="I15">
        <v>75082668</v>
      </c>
      <c r="J15">
        <v>82</v>
      </c>
      <c r="K15" t="str" cm="1">
        <f t="array" ref="K15">_xlfn.IFS(Table1[[#This Row],[IMDB_Rating]]&gt;=9,"Masterpiece",Table1[[#This Row],[IMDB_Rating]]&gt;=8,"Excellent",Table1[[#This Row],[IMDB_Rating]]&gt;=7,"Good",Table1[[#This Row],[IMDB_Rating]]&lt;7,"Average")</f>
        <v>Excellent</v>
      </c>
    </row>
    <row r="16" spans="1:13" x14ac:dyDescent="0.35">
      <c r="A16" t="s">
        <v>1520</v>
      </c>
      <c r="B16">
        <v>1993</v>
      </c>
      <c r="C16">
        <v>76</v>
      </c>
      <c r="D16" t="s">
        <v>80</v>
      </c>
      <c r="E16">
        <v>7.8</v>
      </c>
      <c r="F16" t="s">
        <v>1521</v>
      </c>
      <c r="G16" t="s">
        <v>1522</v>
      </c>
      <c r="H16">
        <v>43690</v>
      </c>
      <c r="I16">
        <v>5617391</v>
      </c>
      <c r="K16" t="str" cm="1">
        <f t="array" ref="K16">_xlfn.IFS(Table1[[#This Row],[IMDB_Rating]]&gt;=9,"Masterpiece",Table1[[#This Row],[IMDB_Rating]]&gt;=8,"Excellent",Table1[[#This Row],[IMDB_Rating]]&gt;=7,"Good",Table1[[#This Row],[IMDB_Rating]]&lt;7,"Average")</f>
        <v>Good</v>
      </c>
    </row>
    <row r="17" spans="1:11" x14ac:dyDescent="0.35">
      <c r="A17" t="s">
        <v>2174</v>
      </c>
      <c r="B17">
        <v>1967</v>
      </c>
      <c r="C17">
        <v>78</v>
      </c>
      <c r="D17" t="s">
        <v>80</v>
      </c>
      <c r="E17">
        <v>7.6</v>
      </c>
      <c r="F17" t="s">
        <v>2175</v>
      </c>
      <c r="G17" t="s">
        <v>2176</v>
      </c>
      <c r="H17">
        <v>166409</v>
      </c>
      <c r="I17">
        <v>141843612</v>
      </c>
      <c r="J17">
        <v>65</v>
      </c>
      <c r="K17" t="str" cm="1">
        <f t="array" ref="K17">_xlfn.IFS(Table1[[#This Row],[IMDB_Rating]]&gt;=9,"Masterpiece",Table1[[#This Row],[IMDB_Rating]]&gt;=8,"Excellent",Table1[[#This Row],[IMDB_Rating]]&gt;=7,"Good",Table1[[#This Row],[IMDB_Rating]]&lt;7,"Average")</f>
        <v>Good</v>
      </c>
    </row>
    <row r="18" spans="1:11" x14ac:dyDescent="0.35">
      <c r="A18" t="s">
        <v>1875</v>
      </c>
      <c r="B18">
        <v>1983</v>
      </c>
      <c r="C18">
        <v>79</v>
      </c>
      <c r="D18" t="s">
        <v>67</v>
      </c>
      <c r="E18">
        <v>7.7</v>
      </c>
      <c r="F18" t="s">
        <v>989</v>
      </c>
      <c r="G18" t="s">
        <v>989</v>
      </c>
      <c r="H18">
        <v>39881</v>
      </c>
      <c r="I18">
        <v>11798616</v>
      </c>
      <c r="K18" t="str" cm="1">
        <f t="array" ref="K18">_xlfn.IFS(Table1[[#This Row],[IMDB_Rating]]&gt;=9,"Masterpiece",Table1[[#This Row],[IMDB_Rating]]&gt;=8,"Excellent",Table1[[#This Row],[IMDB_Rating]]&gt;=7,"Good",Table1[[#This Row],[IMDB_Rating]]&lt;7,"Average")</f>
        <v>Good</v>
      </c>
    </row>
    <row r="19" spans="1:11" x14ac:dyDescent="0.35">
      <c r="A19" t="s">
        <v>1025</v>
      </c>
      <c r="B19">
        <v>1962</v>
      </c>
      <c r="C19">
        <v>80</v>
      </c>
      <c r="D19" t="s">
        <v>11</v>
      </c>
      <c r="E19">
        <v>8</v>
      </c>
      <c r="F19" t="s">
        <v>1026</v>
      </c>
      <c r="G19" t="s">
        <v>1027</v>
      </c>
      <c r="H19">
        <v>28057</v>
      </c>
      <c r="I19">
        <v>482545511</v>
      </c>
      <c r="K19" t="str" cm="1">
        <f t="array" ref="K19">_xlfn.IFS(Table1[[#This Row],[IMDB_Rating]]&gt;=9,"Masterpiece",Table1[[#This Row],[IMDB_Rating]]&gt;=8,"Excellent",Table1[[#This Row],[IMDB_Rating]]&gt;=7,"Good",Table1[[#This Row],[IMDB_Rating]]&lt;7,"Average")</f>
        <v>Excellent</v>
      </c>
    </row>
    <row r="20" spans="1:11" x14ac:dyDescent="0.35">
      <c r="A20" t="s">
        <v>1059</v>
      </c>
      <c r="B20">
        <v>1948</v>
      </c>
      <c r="C20">
        <v>80</v>
      </c>
      <c r="D20" t="s">
        <v>15</v>
      </c>
      <c r="E20">
        <v>8</v>
      </c>
      <c r="F20" t="s">
        <v>146</v>
      </c>
      <c r="G20" t="s">
        <v>102</v>
      </c>
      <c r="H20">
        <v>129783</v>
      </c>
      <c r="I20">
        <v>466149116</v>
      </c>
      <c r="J20">
        <v>73</v>
      </c>
      <c r="K20" t="str" cm="1">
        <f t="array" ref="K20">_xlfn.IFS(Table1[[#This Row],[IMDB_Rating]]&gt;=9,"Masterpiece",Table1[[#This Row],[IMDB_Rating]]&gt;=8,"Excellent",Table1[[#This Row],[IMDB_Rating]]&gt;=7,"Good",Table1[[#This Row],[IMDB_Rating]]&lt;7,"Average")</f>
        <v>Excellent</v>
      </c>
    </row>
    <row r="21" spans="1:11" x14ac:dyDescent="0.35">
      <c r="A21" t="s">
        <v>1937</v>
      </c>
      <c r="B21">
        <v>1956</v>
      </c>
      <c r="C21">
        <v>80</v>
      </c>
      <c r="D21" t="s">
        <v>11</v>
      </c>
      <c r="E21">
        <v>7.7</v>
      </c>
      <c r="F21" t="s">
        <v>1908</v>
      </c>
      <c r="G21" t="s">
        <v>1938</v>
      </c>
      <c r="H21">
        <v>44839</v>
      </c>
      <c r="I21">
        <v>244000775</v>
      </c>
      <c r="J21">
        <v>92</v>
      </c>
      <c r="K21" t="str" cm="1">
        <f t="array" ref="K21">_xlfn.IFS(Table1[[#This Row],[IMDB_Rating]]&gt;=9,"Masterpiece",Table1[[#This Row],[IMDB_Rating]]&gt;=8,"Excellent",Table1[[#This Row],[IMDB_Rating]]&gt;=7,"Good",Table1[[#This Row],[IMDB_Rating]]&lt;7,"Average")</f>
        <v>Good</v>
      </c>
    </row>
    <row r="22" spans="1:11" x14ac:dyDescent="0.35">
      <c r="A22" t="s">
        <v>1472</v>
      </c>
      <c r="B22">
        <v>2003</v>
      </c>
      <c r="C22">
        <v>80</v>
      </c>
      <c r="D22" t="s">
        <v>80</v>
      </c>
      <c r="E22">
        <v>7.8</v>
      </c>
      <c r="F22" t="s">
        <v>1473</v>
      </c>
      <c r="G22" t="s">
        <v>1474</v>
      </c>
      <c r="H22">
        <v>50622</v>
      </c>
      <c r="I22">
        <v>7002255</v>
      </c>
      <c r="J22">
        <v>91</v>
      </c>
      <c r="K22" t="str" cm="1">
        <f t="array" ref="K22">_xlfn.IFS(Table1[[#This Row],[IMDB_Rating]]&gt;=9,"Masterpiece",Table1[[#This Row],[IMDB_Rating]]&gt;=8,"Excellent",Table1[[#This Row],[IMDB_Rating]]&gt;=7,"Good",Table1[[#This Row],[IMDB_Rating]]&lt;7,"Average")</f>
        <v>Good</v>
      </c>
    </row>
    <row r="23" spans="1:11" x14ac:dyDescent="0.35">
      <c r="A23" t="s">
        <v>593</v>
      </c>
      <c r="B23">
        <v>2004</v>
      </c>
      <c r="C23">
        <v>80</v>
      </c>
      <c r="D23" t="s">
        <v>11</v>
      </c>
      <c r="E23">
        <v>8.1</v>
      </c>
      <c r="F23" t="s">
        <v>594</v>
      </c>
      <c r="G23" t="s">
        <v>595</v>
      </c>
      <c r="H23">
        <v>236311</v>
      </c>
      <c r="I23">
        <v>5820649</v>
      </c>
      <c r="J23">
        <v>90</v>
      </c>
      <c r="K23" t="str" cm="1">
        <f t="array" ref="K23">_xlfn.IFS(Table1[[#This Row],[IMDB_Rating]]&gt;=9,"Masterpiece",Table1[[#This Row],[IMDB_Rating]]&gt;=8,"Excellent",Table1[[#This Row],[IMDB_Rating]]&gt;=7,"Good",Table1[[#This Row],[IMDB_Rating]]&lt;7,"Average")</f>
        <v>Excellent</v>
      </c>
    </row>
    <row r="24" spans="1:11" x14ac:dyDescent="0.35">
      <c r="A24" t="s">
        <v>1818</v>
      </c>
      <c r="B24">
        <v>1998</v>
      </c>
      <c r="C24">
        <v>80</v>
      </c>
      <c r="D24" t="s">
        <v>67</v>
      </c>
      <c r="E24">
        <v>7.7</v>
      </c>
      <c r="F24" t="s">
        <v>1819</v>
      </c>
      <c r="G24" t="s">
        <v>1820</v>
      </c>
      <c r="H24">
        <v>37424</v>
      </c>
      <c r="I24">
        <v>4065116</v>
      </c>
      <c r="J24">
        <v>73</v>
      </c>
      <c r="K24" t="str" cm="1">
        <f t="array" ref="K24">_xlfn.IFS(Table1[[#This Row],[IMDB_Rating]]&gt;=9,"Masterpiece",Table1[[#This Row],[IMDB_Rating]]&gt;=8,"Excellent",Table1[[#This Row],[IMDB_Rating]]&gt;=7,"Good",Table1[[#This Row],[IMDB_Rating]]&lt;7,"Average")</f>
        <v>Good</v>
      </c>
    </row>
    <row r="25" spans="1:11" x14ac:dyDescent="0.35">
      <c r="A25" t="s">
        <v>270</v>
      </c>
      <c r="B25">
        <v>1995</v>
      </c>
      <c r="C25">
        <v>81</v>
      </c>
      <c r="D25" t="s">
        <v>80</v>
      </c>
      <c r="E25">
        <v>8.3000000000000007</v>
      </c>
      <c r="F25" t="s">
        <v>271</v>
      </c>
      <c r="G25" t="s">
        <v>45</v>
      </c>
      <c r="H25">
        <v>887429</v>
      </c>
      <c r="I25">
        <v>191796233</v>
      </c>
      <c r="J25">
        <v>95</v>
      </c>
      <c r="K25" t="str" cm="1">
        <f t="array" ref="K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26" spans="1:11" x14ac:dyDescent="0.35">
      <c r="A26" t="s">
        <v>1799</v>
      </c>
      <c r="B26">
        <v>1999</v>
      </c>
      <c r="C26">
        <v>81</v>
      </c>
      <c r="D26" t="s">
        <v>80</v>
      </c>
      <c r="E26">
        <v>7.7</v>
      </c>
      <c r="F26" t="s">
        <v>1800</v>
      </c>
      <c r="G26" t="s">
        <v>1800</v>
      </c>
      <c r="H26">
        <v>192112</v>
      </c>
      <c r="I26">
        <v>52037603</v>
      </c>
      <c r="J26">
        <v>73</v>
      </c>
      <c r="K26" t="str" cm="1">
        <f t="array" ref="K26">_xlfn.IFS(Table1[[#This Row],[IMDB_Rating]]&gt;=9,"Masterpiece",Table1[[#This Row],[IMDB_Rating]]&gt;=8,"Excellent",Table1[[#This Row],[IMDB_Rating]]&gt;=7,"Good",Table1[[#This Row],[IMDB_Rating]]&lt;7,"Average")</f>
        <v>Good</v>
      </c>
    </row>
    <row r="27" spans="1:11" x14ac:dyDescent="0.35">
      <c r="A27" t="s">
        <v>2105</v>
      </c>
      <c r="B27">
        <v>1998</v>
      </c>
      <c r="C27">
        <v>81</v>
      </c>
      <c r="D27" t="s">
        <v>15</v>
      </c>
      <c r="E27">
        <v>7.6</v>
      </c>
      <c r="F27" t="s">
        <v>2106</v>
      </c>
      <c r="G27" t="s">
        <v>1197</v>
      </c>
      <c r="H27">
        <v>188317</v>
      </c>
      <c r="I27">
        <v>7267585</v>
      </c>
      <c r="J27">
        <v>77</v>
      </c>
      <c r="K27" t="str" cm="1">
        <f t="array" ref="K27">_xlfn.IFS(Table1[[#This Row],[IMDB_Rating]]&gt;=9,"Masterpiece",Table1[[#This Row],[IMDB_Rating]]&gt;=8,"Excellent",Table1[[#This Row],[IMDB_Rating]]&gt;=7,"Good",Table1[[#This Row],[IMDB_Rating]]&lt;7,"Average")</f>
        <v>Good</v>
      </c>
    </row>
    <row r="28" spans="1:11" x14ac:dyDescent="0.35">
      <c r="A28" t="s">
        <v>922</v>
      </c>
      <c r="B28">
        <v>1997</v>
      </c>
      <c r="C28">
        <v>81</v>
      </c>
      <c r="D28" t="s">
        <v>80</v>
      </c>
      <c r="E28">
        <v>8</v>
      </c>
      <c r="F28" t="s">
        <v>923</v>
      </c>
      <c r="G28" t="s">
        <v>924</v>
      </c>
      <c r="H28">
        <v>58192</v>
      </c>
      <c r="I28">
        <v>776665</v>
      </c>
      <c r="K28" t="str" cm="1">
        <f t="array" ref="K28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" spans="1:11" x14ac:dyDescent="0.35">
      <c r="A29" t="s">
        <v>1872</v>
      </c>
      <c r="B29">
        <v>1985</v>
      </c>
      <c r="C29">
        <v>82</v>
      </c>
      <c r="D29" t="s">
        <v>67</v>
      </c>
      <c r="E29">
        <v>7.7</v>
      </c>
      <c r="F29" t="s">
        <v>989</v>
      </c>
      <c r="G29" t="s">
        <v>1011</v>
      </c>
      <c r="H29">
        <v>47102</v>
      </c>
      <c r="I29">
        <v>10631333</v>
      </c>
      <c r="J29">
        <v>75</v>
      </c>
      <c r="K29" t="str" cm="1">
        <f t="array" ref="K29">_xlfn.IFS(Table1[[#This Row],[IMDB_Rating]]&gt;=9,"Masterpiece",Table1[[#This Row],[IMDB_Rating]]&gt;=8,"Excellent",Table1[[#This Row],[IMDB_Rating]]&gt;=7,"Good",Table1[[#This Row],[IMDB_Rating]]&lt;7,"Average")</f>
        <v>Good</v>
      </c>
    </row>
    <row r="30" spans="1:11" x14ac:dyDescent="0.35">
      <c r="A30" t="s">
        <v>1234</v>
      </c>
      <c r="B30">
        <v>1984</v>
      </c>
      <c r="C30">
        <v>82</v>
      </c>
      <c r="D30" t="s">
        <v>67</v>
      </c>
      <c r="E30">
        <v>7.9</v>
      </c>
      <c r="F30" t="s">
        <v>653</v>
      </c>
      <c r="G30" t="s">
        <v>653</v>
      </c>
      <c r="H30">
        <v>128812</v>
      </c>
      <c r="I30">
        <v>188751</v>
      </c>
      <c r="J30">
        <v>92</v>
      </c>
      <c r="K30" t="str" cm="1">
        <f t="array" ref="K30">_xlfn.IFS(Table1[[#This Row],[IMDB_Rating]]&gt;=9,"Masterpiece",Table1[[#This Row],[IMDB_Rating]]&gt;=8,"Excellent",Table1[[#This Row],[IMDB_Rating]]&gt;=7,"Good",Table1[[#This Row],[IMDB_Rating]]&lt;7,"Average")</f>
        <v>Good</v>
      </c>
    </row>
    <row r="31" spans="1:11" x14ac:dyDescent="0.35">
      <c r="A31" t="s">
        <v>2145</v>
      </c>
      <c r="B31">
        <v>1989</v>
      </c>
      <c r="C31">
        <v>83</v>
      </c>
      <c r="D31" t="s">
        <v>80</v>
      </c>
      <c r="E31">
        <v>7.6</v>
      </c>
      <c r="F31" t="s">
        <v>956</v>
      </c>
      <c r="G31" t="s">
        <v>957</v>
      </c>
      <c r="H31">
        <v>237696</v>
      </c>
      <c r="I31">
        <v>111543479</v>
      </c>
      <c r="J31">
        <v>88</v>
      </c>
      <c r="K31" t="str" cm="1">
        <f t="array" ref="K31">_xlfn.IFS(Table1[[#This Row],[IMDB_Rating]]&gt;=9,"Masterpiece",Table1[[#This Row],[IMDB_Rating]]&gt;=8,"Excellent",Table1[[#This Row],[IMDB_Rating]]&gt;=7,"Good",Table1[[#This Row],[IMDB_Rating]]&lt;7,"Average")</f>
        <v>Good</v>
      </c>
    </row>
    <row r="32" spans="1:11" x14ac:dyDescent="0.35">
      <c r="A32" t="s">
        <v>941</v>
      </c>
      <c r="B32">
        <v>1995</v>
      </c>
      <c r="C32">
        <v>83</v>
      </c>
      <c r="D32" t="s">
        <v>80</v>
      </c>
      <c r="E32">
        <v>8</v>
      </c>
      <c r="F32" t="s">
        <v>942</v>
      </c>
      <c r="G32" t="s">
        <v>943</v>
      </c>
      <c r="H32">
        <v>129231</v>
      </c>
      <c r="I32">
        <v>515905</v>
      </c>
      <c r="J32">
        <v>76</v>
      </c>
      <c r="K32" t="str" cm="1">
        <f t="array" ref="K3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3" spans="1:11" x14ac:dyDescent="0.35">
      <c r="A33" t="s">
        <v>1042</v>
      </c>
      <c r="B33">
        <v>1956</v>
      </c>
      <c r="C33">
        <v>84</v>
      </c>
      <c r="D33" t="s">
        <v>15</v>
      </c>
      <c r="E33">
        <v>8</v>
      </c>
      <c r="F33" t="s">
        <v>204</v>
      </c>
      <c r="G33" t="s">
        <v>1043</v>
      </c>
      <c r="H33">
        <v>81702</v>
      </c>
      <c r="I33">
        <v>309154156</v>
      </c>
      <c r="J33">
        <v>91</v>
      </c>
      <c r="K33" t="str" cm="1">
        <f t="array" ref="K33">_xlfn.IFS(Table1[[#This Row],[IMDB_Rating]]&gt;=9,"Masterpiece",Table1[[#This Row],[IMDB_Rating]]&gt;=8,"Excellent",Table1[[#This Row],[IMDB_Rating]]&gt;=7,"Good",Table1[[#This Row],[IMDB_Rating]]&lt;7,"Average")</f>
        <v>Excellent</v>
      </c>
    </row>
    <row r="34" spans="1:11" x14ac:dyDescent="0.35">
      <c r="A34" t="s">
        <v>960</v>
      </c>
      <c r="B34">
        <v>1991</v>
      </c>
      <c r="C34">
        <v>84</v>
      </c>
      <c r="D34" t="s">
        <v>80</v>
      </c>
      <c r="E34">
        <v>8</v>
      </c>
      <c r="F34" t="s">
        <v>961</v>
      </c>
      <c r="G34" t="s">
        <v>962</v>
      </c>
      <c r="H34">
        <v>417178</v>
      </c>
      <c r="I34">
        <v>218967620</v>
      </c>
      <c r="J34">
        <v>95</v>
      </c>
      <c r="K34" t="str" cm="1">
        <f t="array" ref="K34">_xlfn.IFS(Table1[[#This Row],[IMDB_Rating]]&gt;=9,"Masterpiece",Table1[[#This Row],[IMDB_Rating]]&gt;=8,"Excellent",Table1[[#This Row],[IMDB_Rating]]&gt;=7,"Good",Table1[[#This Row],[IMDB_Rating]]&lt;7,"Average")</f>
        <v>Excellent</v>
      </c>
    </row>
    <row r="35" spans="1:11" x14ac:dyDescent="0.35">
      <c r="A35" t="s">
        <v>1545</v>
      </c>
      <c r="B35">
        <v>1987</v>
      </c>
      <c r="C35">
        <v>84</v>
      </c>
      <c r="D35" t="s">
        <v>19</v>
      </c>
      <c r="E35">
        <v>7.8</v>
      </c>
      <c r="F35" t="s">
        <v>1546</v>
      </c>
      <c r="G35" t="s">
        <v>1547</v>
      </c>
      <c r="H35">
        <v>148359</v>
      </c>
      <c r="I35">
        <v>5923044</v>
      </c>
      <c r="J35">
        <v>72</v>
      </c>
      <c r="K35" t="str" cm="1">
        <f t="array" ref="K35">_xlfn.IFS(Table1[[#This Row],[IMDB_Rating]]&gt;=9,"Masterpiece",Table1[[#This Row],[IMDB_Rating]]&gt;=8,"Excellent",Table1[[#This Row],[IMDB_Rating]]&gt;=7,"Good",Table1[[#This Row],[IMDB_Rating]]&lt;7,"Average")</f>
        <v>Good</v>
      </c>
    </row>
    <row r="36" spans="1:11" x14ac:dyDescent="0.35">
      <c r="A36" t="s">
        <v>1893</v>
      </c>
      <c r="B36">
        <v>1975</v>
      </c>
      <c r="C36">
        <v>85</v>
      </c>
      <c r="D36" t="s">
        <v>67</v>
      </c>
      <c r="E36">
        <v>7.7</v>
      </c>
      <c r="F36" t="s">
        <v>989</v>
      </c>
      <c r="G36" t="s">
        <v>989</v>
      </c>
      <c r="H36">
        <v>36037</v>
      </c>
      <c r="I36">
        <v>745173387</v>
      </c>
      <c r="J36">
        <v>89</v>
      </c>
      <c r="K36" t="str" cm="1">
        <f t="array" ref="K36">_xlfn.IFS(Table1[[#This Row],[IMDB_Rating]]&gt;=9,"Masterpiece",Table1[[#This Row],[IMDB_Rating]]&gt;=8,"Excellent",Table1[[#This Row],[IMDB_Rating]]&gt;=7,"Good",Table1[[#This Row],[IMDB_Rating]]&lt;7,"Average")</f>
        <v>Good</v>
      </c>
    </row>
    <row r="37" spans="1:11" x14ac:dyDescent="0.35">
      <c r="A37" t="s">
        <v>703</v>
      </c>
      <c r="B37">
        <v>1966</v>
      </c>
      <c r="C37">
        <v>85</v>
      </c>
      <c r="D37" t="s">
        <v>11</v>
      </c>
      <c r="E37">
        <v>8.1</v>
      </c>
      <c r="F37" t="s">
        <v>437</v>
      </c>
      <c r="G37" t="s">
        <v>704</v>
      </c>
      <c r="H37">
        <v>103191</v>
      </c>
      <c r="I37">
        <v>464738597</v>
      </c>
      <c r="J37">
        <v>86</v>
      </c>
      <c r="K37" t="str" cm="1">
        <f t="array" ref="K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38" spans="1:11" x14ac:dyDescent="0.35">
      <c r="A38" t="s">
        <v>2146</v>
      </c>
      <c r="B38">
        <v>1988</v>
      </c>
      <c r="C38">
        <v>85</v>
      </c>
      <c r="D38" t="s">
        <v>67</v>
      </c>
      <c r="E38">
        <v>7.6</v>
      </c>
      <c r="F38" t="s">
        <v>1887</v>
      </c>
      <c r="G38" t="s">
        <v>2147</v>
      </c>
      <c r="H38">
        <v>152871</v>
      </c>
      <c r="I38">
        <v>78756177</v>
      </c>
      <c r="J38">
        <v>76</v>
      </c>
      <c r="K38" t="str" cm="1">
        <f t="array" ref="K38">_xlfn.IFS(Table1[[#This Row],[IMDB_Rating]]&gt;=9,"Masterpiece",Table1[[#This Row],[IMDB_Rating]]&gt;=8,"Excellent",Table1[[#This Row],[IMDB_Rating]]&gt;=7,"Good",Table1[[#This Row],[IMDB_Rating]]&lt;7,"Average")</f>
        <v>Good</v>
      </c>
    </row>
    <row r="39" spans="1:11" x14ac:dyDescent="0.35">
      <c r="A39" t="s">
        <v>1842</v>
      </c>
      <c r="B39">
        <v>1992</v>
      </c>
      <c r="C39">
        <v>85</v>
      </c>
      <c r="D39" t="s">
        <v>67</v>
      </c>
      <c r="E39">
        <v>7.7</v>
      </c>
      <c r="F39" t="s">
        <v>1843</v>
      </c>
      <c r="G39" t="s">
        <v>1844</v>
      </c>
      <c r="H39">
        <v>50298</v>
      </c>
      <c r="I39">
        <v>27281507</v>
      </c>
      <c r="J39">
        <v>64</v>
      </c>
      <c r="K39" t="str" cm="1">
        <f t="array" ref="K39">_xlfn.IFS(Table1[[#This Row],[IMDB_Rating]]&gt;=9,"Masterpiece",Table1[[#This Row],[IMDB_Rating]]&gt;=8,"Excellent",Table1[[#This Row],[IMDB_Rating]]&gt;=7,"Good",Table1[[#This Row],[IMDB_Rating]]&lt;7,"Average")</f>
        <v>Good</v>
      </c>
    </row>
    <row r="40" spans="1:11" x14ac:dyDescent="0.35">
      <c r="A40" t="s">
        <v>1284</v>
      </c>
      <c r="B40">
        <v>1952</v>
      </c>
      <c r="C40">
        <v>85</v>
      </c>
      <c r="D40" t="s">
        <v>11</v>
      </c>
      <c r="E40">
        <v>7.9</v>
      </c>
      <c r="F40" t="s">
        <v>1285</v>
      </c>
      <c r="G40" t="s">
        <v>1286</v>
      </c>
      <c r="H40">
        <v>97222</v>
      </c>
      <c r="I40">
        <v>9450000</v>
      </c>
      <c r="J40">
        <v>89</v>
      </c>
      <c r="K40" t="str" cm="1">
        <f t="array" ref="K40">_xlfn.IFS(Table1[[#This Row],[IMDB_Rating]]&gt;=9,"Masterpiece",Table1[[#This Row],[IMDB_Rating]]&gt;=8,"Excellent",Table1[[#This Row],[IMDB_Rating]]&gt;=7,"Good",Table1[[#This Row],[IMDB_Rating]]&lt;7,"Average")</f>
        <v>Good</v>
      </c>
    </row>
    <row r="41" spans="1:11" x14ac:dyDescent="0.35">
      <c r="A41" t="s">
        <v>1062</v>
      </c>
      <c r="B41">
        <v>1945</v>
      </c>
      <c r="C41">
        <v>86</v>
      </c>
      <c r="D41" t="s">
        <v>11</v>
      </c>
      <c r="E41">
        <v>8</v>
      </c>
      <c r="F41" t="s">
        <v>301</v>
      </c>
      <c r="G41" t="s">
        <v>1063</v>
      </c>
      <c r="H41">
        <v>35601</v>
      </c>
      <c r="I41">
        <v>484221008</v>
      </c>
      <c r="J41">
        <v>92</v>
      </c>
      <c r="K41" t="str" cm="1">
        <f t="array" ref="K41">_xlfn.IFS(Table1[[#This Row],[IMDB_Rating]]&gt;=9,"Masterpiece",Table1[[#This Row],[IMDB_Rating]]&gt;=8,"Excellent",Table1[[#This Row],[IMDB_Rating]]&gt;=7,"Good",Table1[[#This Row],[IMDB_Rating]]&lt;7,"Average")</f>
        <v>Excellent</v>
      </c>
    </row>
    <row r="42" spans="1:11" x14ac:dyDescent="0.35">
      <c r="A42" t="s">
        <v>2189</v>
      </c>
      <c r="B42">
        <v>1935</v>
      </c>
      <c r="C42">
        <v>86</v>
      </c>
      <c r="D42" t="s">
        <v>15</v>
      </c>
      <c r="E42">
        <v>7.6</v>
      </c>
      <c r="F42" t="s">
        <v>146</v>
      </c>
      <c r="G42" t="s">
        <v>2190</v>
      </c>
      <c r="H42">
        <v>51853</v>
      </c>
      <c r="I42">
        <v>302787539</v>
      </c>
      <c r="J42">
        <v>93</v>
      </c>
      <c r="K42" t="str" cm="1">
        <f t="array" ref="K42">_xlfn.IFS(Table1[[#This Row],[IMDB_Rating]]&gt;=9,"Masterpiece",Table1[[#This Row],[IMDB_Rating]]&gt;=8,"Excellent",Table1[[#This Row],[IMDB_Rating]]&gt;=7,"Good",Table1[[#This Row],[IMDB_Rating]]&lt;7,"Average")</f>
        <v>Good</v>
      </c>
    </row>
    <row r="43" spans="1:11" x14ac:dyDescent="0.35">
      <c r="A43" t="s">
        <v>930</v>
      </c>
      <c r="B43">
        <v>1999</v>
      </c>
      <c r="C43">
        <v>86</v>
      </c>
      <c r="D43" t="s">
        <v>80</v>
      </c>
      <c r="E43">
        <v>8</v>
      </c>
      <c r="F43" t="s">
        <v>878</v>
      </c>
      <c r="G43" t="s">
        <v>931</v>
      </c>
      <c r="H43">
        <v>172083</v>
      </c>
      <c r="I43">
        <v>23159305</v>
      </c>
      <c r="J43">
        <v>85</v>
      </c>
      <c r="K43" t="str" cm="1">
        <f t="array" ref="K43">_xlfn.IFS(Table1[[#This Row],[IMDB_Rating]]&gt;=9,"Masterpiece",Table1[[#This Row],[IMDB_Rating]]&gt;=8,"Excellent",Table1[[#This Row],[IMDB_Rating]]&gt;=7,"Good",Table1[[#This Row],[IMDB_Rating]]&lt;7,"Average")</f>
        <v>Excellent</v>
      </c>
    </row>
    <row r="44" spans="1:11" x14ac:dyDescent="0.35">
      <c r="A44" t="s">
        <v>1424</v>
      </c>
      <c r="B44">
        <v>2007</v>
      </c>
      <c r="C44">
        <v>86</v>
      </c>
      <c r="D44" t="s">
        <v>11</v>
      </c>
      <c r="E44">
        <v>7.8</v>
      </c>
      <c r="F44" t="s">
        <v>1105</v>
      </c>
      <c r="G44" t="s">
        <v>1425</v>
      </c>
      <c r="H44">
        <v>110656</v>
      </c>
      <c r="I44">
        <v>9439923</v>
      </c>
      <c r="J44">
        <v>88</v>
      </c>
      <c r="K44" t="str" cm="1">
        <f t="array" ref="K44">_xlfn.IFS(Table1[[#This Row],[IMDB_Rating]]&gt;=9,"Masterpiece",Table1[[#This Row],[IMDB_Rating]]&gt;=8,"Excellent",Table1[[#This Row],[IMDB_Rating]]&gt;=7,"Good",Table1[[#This Row],[IMDB_Rating]]&lt;7,"Average")</f>
        <v>Good</v>
      </c>
    </row>
    <row r="45" spans="1:11" x14ac:dyDescent="0.35">
      <c r="A45" t="s">
        <v>1651</v>
      </c>
      <c r="B45">
        <v>2014</v>
      </c>
      <c r="C45">
        <v>86</v>
      </c>
      <c r="D45" t="s">
        <v>67</v>
      </c>
      <c r="E45">
        <v>7.7</v>
      </c>
      <c r="F45" t="s">
        <v>1652</v>
      </c>
      <c r="G45" t="s">
        <v>1101</v>
      </c>
      <c r="H45">
        <v>157498</v>
      </c>
      <c r="I45">
        <v>3333000</v>
      </c>
      <c r="J45">
        <v>76</v>
      </c>
      <c r="K45" t="str" cm="1">
        <f t="array" ref="K45">_xlfn.IFS(Table1[[#This Row],[IMDB_Rating]]&gt;=9,"Masterpiece",Table1[[#This Row],[IMDB_Rating]]&gt;=8,"Excellent",Table1[[#This Row],[IMDB_Rating]]&gt;=7,"Good",Table1[[#This Row],[IMDB_Rating]]&lt;7,"Average")</f>
        <v>Good</v>
      </c>
    </row>
    <row r="46" spans="1:11" x14ac:dyDescent="0.35">
      <c r="A46" t="s">
        <v>426</v>
      </c>
      <c r="B46">
        <v>1988</v>
      </c>
      <c r="C46">
        <v>86</v>
      </c>
      <c r="D46" t="s">
        <v>80</v>
      </c>
      <c r="E46">
        <v>8.1999999999999993</v>
      </c>
      <c r="F46" t="s">
        <v>81</v>
      </c>
      <c r="G46" t="s">
        <v>427</v>
      </c>
      <c r="H46">
        <v>291180</v>
      </c>
      <c r="I46">
        <v>1105564</v>
      </c>
      <c r="J46">
        <v>86</v>
      </c>
      <c r="K46" t="str" cm="1">
        <f t="array" ref="K46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" spans="1:11" x14ac:dyDescent="0.35">
      <c r="A47" t="s">
        <v>1156</v>
      </c>
      <c r="B47">
        <v>2007</v>
      </c>
      <c r="C47">
        <v>87</v>
      </c>
      <c r="D47" t="s">
        <v>11</v>
      </c>
      <c r="E47">
        <v>7.9</v>
      </c>
      <c r="F47" t="s">
        <v>1157</v>
      </c>
      <c r="G47" t="s">
        <v>1158</v>
      </c>
      <c r="H47">
        <v>174125</v>
      </c>
      <c r="I47">
        <v>849967373</v>
      </c>
      <c r="K47" t="str" cm="1">
        <f t="array" ref="K47">_xlfn.IFS(Table1[[#This Row],[IMDB_Rating]]&gt;=9,"Masterpiece",Table1[[#This Row],[IMDB_Rating]]&gt;=8,"Excellent",Table1[[#This Row],[IMDB_Rating]]&gt;=7,"Good",Table1[[#This Row],[IMDB_Rating]]&lt;7,"Average")</f>
        <v>Good</v>
      </c>
    </row>
    <row r="48" spans="1:11" x14ac:dyDescent="0.35">
      <c r="A48" t="s">
        <v>608</v>
      </c>
      <c r="B48">
        <v>1997</v>
      </c>
      <c r="C48">
        <v>87</v>
      </c>
      <c r="D48" t="s">
        <v>80</v>
      </c>
      <c r="E48">
        <v>8.1</v>
      </c>
      <c r="F48" t="s">
        <v>609</v>
      </c>
      <c r="G48" t="s">
        <v>610</v>
      </c>
      <c r="H48">
        <v>38847</v>
      </c>
      <c r="I48">
        <v>364744762</v>
      </c>
      <c r="K48" t="str" cm="1">
        <f t="array" ref="K48">_xlfn.IFS(Table1[[#This Row],[IMDB_Rating]]&gt;=9,"Masterpiece",Table1[[#This Row],[IMDB_Rating]]&gt;=8,"Excellent",Table1[[#This Row],[IMDB_Rating]]&gt;=7,"Good",Table1[[#This Row],[IMDB_Rating]]&lt;7,"Average")</f>
        <v>Excellent</v>
      </c>
    </row>
    <row r="49" spans="1:11" x14ac:dyDescent="0.35">
      <c r="A49" t="s">
        <v>1167</v>
      </c>
      <c r="B49">
        <v>2009</v>
      </c>
      <c r="C49">
        <v>87</v>
      </c>
      <c r="D49" t="s">
        <v>80</v>
      </c>
      <c r="E49">
        <v>7.9</v>
      </c>
      <c r="F49" t="s">
        <v>523</v>
      </c>
      <c r="G49" t="s">
        <v>1168</v>
      </c>
      <c r="H49">
        <v>199696</v>
      </c>
      <c r="I49">
        <v>21002919</v>
      </c>
      <c r="J49">
        <v>83</v>
      </c>
      <c r="K49" t="str" cm="1">
        <f t="array" ref="K49">_xlfn.IFS(Table1[[#This Row],[IMDB_Rating]]&gt;=9,"Masterpiece",Table1[[#This Row],[IMDB_Rating]]&gt;=8,"Excellent",Table1[[#This Row],[IMDB_Rating]]&gt;=7,"Good",Table1[[#This Row],[IMDB_Rating]]&lt;7,"Average")</f>
        <v>Good</v>
      </c>
    </row>
    <row r="50" spans="1:11" x14ac:dyDescent="0.35">
      <c r="A50" t="s">
        <v>2179</v>
      </c>
      <c r="B50">
        <v>1964</v>
      </c>
      <c r="C50">
        <v>87</v>
      </c>
      <c r="D50" t="s">
        <v>67</v>
      </c>
      <c r="E50">
        <v>7.6</v>
      </c>
      <c r="F50" t="s">
        <v>2180</v>
      </c>
      <c r="G50" t="s">
        <v>2181</v>
      </c>
      <c r="H50">
        <v>40351</v>
      </c>
      <c r="I50">
        <v>13780024</v>
      </c>
      <c r="J50">
        <v>96</v>
      </c>
      <c r="K50" t="str" cm="1">
        <f t="array" ref="K50">_xlfn.IFS(Table1[[#This Row],[IMDB_Rating]]&gt;=9,"Masterpiece",Table1[[#This Row],[IMDB_Rating]]&gt;=8,"Excellent",Table1[[#This Row],[IMDB_Rating]]&gt;=7,"Good",Table1[[#This Row],[IMDB_Rating]]&lt;7,"Average")</f>
        <v>Good</v>
      </c>
    </row>
    <row r="51" spans="1:11" x14ac:dyDescent="0.35">
      <c r="A51" t="s">
        <v>151</v>
      </c>
      <c r="B51">
        <v>1936</v>
      </c>
      <c r="C51">
        <v>87</v>
      </c>
      <c r="D51" t="s">
        <v>67</v>
      </c>
      <c r="E51">
        <v>8.5</v>
      </c>
      <c r="F51" t="s">
        <v>152</v>
      </c>
      <c r="G51" t="s">
        <v>152</v>
      </c>
      <c r="H51">
        <v>217881</v>
      </c>
      <c r="I51">
        <v>163245</v>
      </c>
      <c r="J51">
        <v>96</v>
      </c>
      <c r="K51" t="str" cm="1">
        <f t="array" ref="K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52" spans="1:11" x14ac:dyDescent="0.35">
      <c r="A52" t="s">
        <v>354</v>
      </c>
      <c r="B52">
        <v>2013</v>
      </c>
      <c r="C52">
        <v>87</v>
      </c>
      <c r="D52" t="s">
        <v>11</v>
      </c>
      <c r="E52">
        <v>8.1999999999999993</v>
      </c>
      <c r="F52" t="s">
        <v>355</v>
      </c>
      <c r="G52" t="s">
        <v>356</v>
      </c>
      <c r="H52">
        <v>40382</v>
      </c>
      <c r="I52">
        <v>144501</v>
      </c>
      <c r="J52">
        <v>73</v>
      </c>
      <c r="K52" t="str" cm="1">
        <f t="array" ref="K5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3" spans="1:11" x14ac:dyDescent="0.35">
      <c r="A53" t="s">
        <v>153</v>
      </c>
      <c r="B53">
        <v>1931</v>
      </c>
      <c r="C53">
        <v>87</v>
      </c>
      <c r="D53" t="s">
        <v>67</v>
      </c>
      <c r="E53">
        <v>8.5</v>
      </c>
      <c r="F53" t="s">
        <v>152</v>
      </c>
      <c r="G53" t="s">
        <v>152</v>
      </c>
      <c r="H53">
        <v>167839</v>
      </c>
      <c r="I53">
        <v>19181</v>
      </c>
      <c r="J53">
        <v>99</v>
      </c>
      <c r="K53" t="str" cm="1">
        <f t="array" ref="K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" spans="1:11" x14ac:dyDescent="0.35">
      <c r="A54" t="s">
        <v>932</v>
      </c>
      <c r="B54">
        <v>1997</v>
      </c>
      <c r="C54">
        <v>87</v>
      </c>
      <c r="D54" t="s">
        <v>19</v>
      </c>
      <c r="E54">
        <v>8</v>
      </c>
      <c r="F54" t="s">
        <v>933</v>
      </c>
      <c r="G54" t="s">
        <v>934</v>
      </c>
      <c r="H54">
        <v>27721</v>
      </c>
      <c r="I54">
        <v>3296</v>
      </c>
      <c r="K54" t="str" cm="1">
        <f t="array" ref="K5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5" spans="1:11" x14ac:dyDescent="0.35">
      <c r="A55" t="s">
        <v>218</v>
      </c>
      <c r="B55">
        <v>1957</v>
      </c>
      <c r="C55">
        <v>88</v>
      </c>
      <c r="D55" t="s">
        <v>11</v>
      </c>
      <c r="E55">
        <v>8.4</v>
      </c>
      <c r="F55" t="s">
        <v>204</v>
      </c>
      <c r="G55" t="s">
        <v>219</v>
      </c>
      <c r="H55">
        <v>178092</v>
      </c>
      <c r="I55">
        <v>518311052</v>
      </c>
      <c r="J55">
        <v>90</v>
      </c>
      <c r="K55" t="str" cm="1">
        <f t="array" ref="K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56" spans="1:11" x14ac:dyDescent="0.35">
      <c r="A56" t="s">
        <v>129</v>
      </c>
      <c r="B56">
        <v>1994</v>
      </c>
      <c r="C56">
        <v>88</v>
      </c>
      <c r="D56" t="s">
        <v>80</v>
      </c>
      <c r="E56">
        <v>8.5</v>
      </c>
      <c r="F56" t="s">
        <v>130</v>
      </c>
      <c r="G56" t="s">
        <v>131</v>
      </c>
      <c r="H56">
        <v>942045</v>
      </c>
      <c r="I56">
        <v>422783777</v>
      </c>
      <c r="J56">
        <v>88</v>
      </c>
      <c r="K56" t="str" cm="1">
        <f t="array" ref="K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" spans="1:11" x14ac:dyDescent="0.35">
      <c r="A57" t="s">
        <v>2108</v>
      </c>
      <c r="B57">
        <v>1998</v>
      </c>
      <c r="C57">
        <v>88</v>
      </c>
      <c r="D57" t="s">
        <v>80</v>
      </c>
      <c r="E57">
        <v>7.6</v>
      </c>
      <c r="F57" t="s">
        <v>2109</v>
      </c>
      <c r="G57" t="s">
        <v>2110</v>
      </c>
      <c r="H57">
        <v>256906</v>
      </c>
      <c r="I57">
        <v>120620254</v>
      </c>
      <c r="J57">
        <v>71</v>
      </c>
      <c r="K57" t="str" cm="1">
        <f t="array" ref="K57">_xlfn.IFS(Table1[[#This Row],[IMDB_Rating]]&gt;=9,"Masterpiece",Table1[[#This Row],[IMDB_Rating]]&gt;=8,"Excellent",Table1[[#This Row],[IMDB_Rating]]&gt;=7,"Good",Table1[[#This Row],[IMDB_Rating]]&lt;7,"Average")</f>
        <v>Good</v>
      </c>
    </row>
    <row r="58" spans="1:11" x14ac:dyDescent="0.35">
      <c r="A58" t="s">
        <v>1885</v>
      </c>
      <c r="B58">
        <v>1980</v>
      </c>
      <c r="C58">
        <v>88</v>
      </c>
      <c r="D58" t="s">
        <v>67</v>
      </c>
      <c r="E58">
        <v>7.7</v>
      </c>
      <c r="F58" t="s">
        <v>1886</v>
      </c>
      <c r="G58" t="s">
        <v>1887</v>
      </c>
      <c r="H58">
        <v>214882</v>
      </c>
      <c r="I58">
        <v>83400000</v>
      </c>
      <c r="J58">
        <v>78</v>
      </c>
      <c r="K58" t="str" cm="1">
        <f t="array" ref="K58">_xlfn.IFS(Table1[[#This Row],[IMDB_Rating]]&gt;=9,"Masterpiece",Table1[[#This Row],[IMDB_Rating]]&gt;=8,"Excellent",Table1[[#This Row],[IMDB_Rating]]&gt;=7,"Good",Table1[[#This Row],[IMDB_Rating]]&lt;7,"Average")</f>
        <v>Good</v>
      </c>
    </row>
    <row r="59" spans="1:11" x14ac:dyDescent="0.35">
      <c r="A59" t="s">
        <v>2029</v>
      </c>
      <c r="B59">
        <v>2009</v>
      </c>
      <c r="C59">
        <v>88</v>
      </c>
      <c r="D59" t="s">
        <v>74</v>
      </c>
      <c r="E59">
        <v>7.6</v>
      </c>
      <c r="F59" t="s">
        <v>2030</v>
      </c>
      <c r="G59" t="s">
        <v>1700</v>
      </c>
      <c r="H59">
        <v>520041</v>
      </c>
      <c r="I59">
        <v>75590286</v>
      </c>
      <c r="J59">
        <v>73</v>
      </c>
      <c r="K59" t="str" cm="1">
        <f t="array" ref="K59">_xlfn.IFS(Table1[[#This Row],[IMDB_Rating]]&gt;=9,"Masterpiece",Table1[[#This Row],[IMDB_Rating]]&gt;=8,"Excellent",Table1[[#This Row],[IMDB_Rating]]&gt;=7,"Good",Table1[[#This Row],[IMDB_Rating]]&lt;7,"Average")</f>
        <v>Good</v>
      </c>
    </row>
    <row r="60" spans="1:11" x14ac:dyDescent="0.35">
      <c r="A60" t="s">
        <v>1064</v>
      </c>
      <c r="B60">
        <v>1944</v>
      </c>
      <c r="C60">
        <v>88</v>
      </c>
      <c r="D60" t="s">
        <v>11</v>
      </c>
      <c r="E60">
        <v>8</v>
      </c>
      <c r="F60" t="s">
        <v>1035</v>
      </c>
      <c r="G60" t="s">
        <v>1065</v>
      </c>
      <c r="H60">
        <v>42725</v>
      </c>
      <c r="I60">
        <v>4360000</v>
      </c>
      <c r="K60" t="str" cm="1">
        <f t="array" ref="K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1" spans="1:11" x14ac:dyDescent="0.35">
      <c r="A61" t="s">
        <v>866</v>
      </c>
      <c r="B61">
        <v>2004</v>
      </c>
      <c r="C61">
        <v>88</v>
      </c>
      <c r="D61" t="s">
        <v>15</v>
      </c>
      <c r="E61">
        <v>8</v>
      </c>
      <c r="F61" t="s">
        <v>867</v>
      </c>
      <c r="G61" t="s">
        <v>868</v>
      </c>
      <c r="H61">
        <v>50610</v>
      </c>
      <c r="I61">
        <v>238507</v>
      </c>
      <c r="J61">
        <v>72</v>
      </c>
      <c r="K61" t="str" cm="1">
        <f t="array" ref="K61">_xlfn.IFS(Table1[[#This Row],[IMDB_Rating]]&gt;=9,"Masterpiece",Table1[[#This Row],[IMDB_Rating]]&gt;=8,"Excellent",Table1[[#This Row],[IMDB_Rating]]&gt;=7,"Good",Table1[[#This Row],[IMDB_Rating]]&lt;7,"Average")</f>
        <v>Excellent</v>
      </c>
    </row>
    <row r="62" spans="1:11" x14ac:dyDescent="0.35">
      <c r="A62" t="s">
        <v>472</v>
      </c>
      <c r="B62">
        <v>1950</v>
      </c>
      <c r="C62">
        <v>88</v>
      </c>
      <c r="D62" t="s">
        <v>15</v>
      </c>
      <c r="E62">
        <v>8.1999999999999993</v>
      </c>
      <c r="F62" t="s">
        <v>98</v>
      </c>
      <c r="G62" t="s">
        <v>99</v>
      </c>
      <c r="H62">
        <v>152572</v>
      </c>
      <c r="I62">
        <v>96568</v>
      </c>
      <c r="J62">
        <v>98</v>
      </c>
      <c r="K62" t="str" cm="1">
        <f t="array" ref="K62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" spans="1:11" x14ac:dyDescent="0.35">
      <c r="A63" t="s">
        <v>138</v>
      </c>
      <c r="B63">
        <v>1988</v>
      </c>
      <c r="C63">
        <v>89</v>
      </c>
      <c r="D63" t="s">
        <v>80</v>
      </c>
      <c r="E63">
        <v>8.5</v>
      </c>
      <c r="F63" t="s">
        <v>139</v>
      </c>
      <c r="G63" t="s">
        <v>140</v>
      </c>
      <c r="H63">
        <v>235231</v>
      </c>
      <c r="I63">
        <v>150734678</v>
      </c>
      <c r="J63">
        <v>94</v>
      </c>
      <c r="K63" t="str" cm="1">
        <f t="array" ref="K6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4" spans="1:11" x14ac:dyDescent="0.35">
      <c r="A64" t="s">
        <v>652</v>
      </c>
      <c r="B64">
        <v>1986</v>
      </c>
      <c r="C64">
        <v>89</v>
      </c>
      <c r="D64" t="s">
        <v>74</v>
      </c>
      <c r="E64">
        <v>8.1</v>
      </c>
      <c r="F64" t="s">
        <v>653</v>
      </c>
      <c r="G64" t="s">
        <v>654</v>
      </c>
      <c r="H64">
        <v>363401</v>
      </c>
      <c r="I64">
        <v>52287414</v>
      </c>
      <c r="J64">
        <v>75</v>
      </c>
      <c r="K64" t="str" cm="1">
        <f t="array" ref="K64">_xlfn.IFS(Table1[[#This Row],[IMDB_Rating]]&gt;=9,"Masterpiece",Table1[[#This Row],[IMDB_Rating]]&gt;=8,"Excellent",Table1[[#This Row],[IMDB_Rating]]&gt;=7,"Good",Table1[[#This Row],[IMDB_Rating]]&lt;7,"Average")</f>
        <v>Excellent</v>
      </c>
    </row>
    <row r="65" spans="1:11" x14ac:dyDescent="0.35">
      <c r="A65" t="s">
        <v>1801</v>
      </c>
      <c r="B65">
        <v>1999</v>
      </c>
      <c r="C65">
        <v>89</v>
      </c>
      <c r="D65" t="s">
        <v>67</v>
      </c>
      <c r="E65">
        <v>7.7</v>
      </c>
      <c r="F65" t="s">
        <v>1802</v>
      </c>
      <c r="G65" t="s">
        <v>1803</v>
      </c>
      <c r="H65">
        <v>241575</v>
      </c>
      <c r="I65">
        <v>10824921</v>
      </c>
      <c r="J65">
        <v>68</v>
      </c>
      <c r="K65" t="str" cm="1">
        <f t="array" ref="K65">_xlfn.IFS(Table1[[#This Row],[IMDB_Rating]]&gt;=9,"Masterpiece",Table1[[#This Row],[IMDB_Rating]]&gt;=8,"Excellent",Table1[[#This Row],[IMDB_Rating]]&gt;=7,"Good",Table1[[#This Row],[IMDB_Rating]]&lt;7,"Average")</f>
        <v>Good</v>
      </c>
    </row>
    <row r="66" spans="1:11" x14ac:dyDescent="0.35">
      <c r="A66" t="s">
        <v>2077</v>
      </c>
      <c r="B66">
        <v>2003</v>
      </c>
      <c r="C66">
        <v>89</v>
      </c>
      <c r="D66" t="s">
        <v>67</v>
      </c>
      <c r="E66">
        <v>7.6</v>
      </c>
      <c r="F66" t="s">
        <v>544</v>
      </c>
      <c r="G66" t="s">
        <v>2078</v>
      </c>
      <c r="H66">
        <v>67370</v>
      </c>
      <c r="I66">
        <v>5739376</v>
      </c>
      <c r="J66">
        <v>81</v>
      </c>
      <c r="K66" t="str" cm="1">
        <f t="array" ref="K66">_xlfn.IFS(Table1[[#This Row],[IMDB_Rating]]&gt;=9,"Masterpiece",Table1[[#This Row],[IMDB_Rating]]&gt;=8,"Excellent",Table1[[#This Row],[IMDB_Rating]]&gt;=7,"Good",Table1[[#This Row],[IMDB_Rating]]&lt;7,"Average")</f>
        <v>Good</v>
      </c>
    </row>
    <row r="67" spans="1:11" x14ac:dyDescent="0.35">
      <c r="A67" t="s">
        <v>720</v>
      </c>
      <c r="B67">
        <v>1960</v>
      </c>
      <c r="C67">
        <v>89</v>
      </c>
      <c r="D67" t="s">
        <v>11</v>
      </c>
      <c r="E67">
        <v>8.1</v>
      </c>
      <c r="F67" t="s">
        <v>437</v>
      </c>
      <c r="G67" t="s">
        <v>463</v>
      </c>
      <c r="H67">
        <v>26697</v>
      </c>
      <c r="I67">
        <v>1526000</v>
      </c>
      <c r="K67" t="str" cm="1">
        <f t="array" ref="K6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8" spans="1:11" x14ac:dyDescent="0.35">
      <c r="A68" t="s">
        <v>267</v>
      </c>
      <c r="B68">
        <v>1997</v>
      </c>
      <c r="C68">
        <v>89</v>
      </c>
      <c r="D68" t="s">
        <v>11</v>
      </c>
      <c r="E68">
        <v>8.3000000000000007</v>
      </c>
      <c r="F68" t="s">
        <v>268</v>
      </c>
      <c r="G68" t="s">
        <v>269</v>
      </c>
      <c r="H68">
        <v>65341</v>
      </c>
      <c r="I68">
        <v>933933</v>
      </c>
      <c r="J68">
        <v>77</v>
      </c>
      <c r="K68" t="str" cm="1">
        <f t="array" ref="K68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" spans="1:11" x14ac:dyDescent="0.35">
      <c r="A69" t="s">
        <v>313</v>
      </c>
      <c r="B69">
        <v>1948</v>
      </c>
      <c r="C69">
        <v>89</v>
      </c>
      <c r="D69" t="s">
        <v>11</v>
      </c>
      <c r="E69">
        <v>8.3000000000000007</v>
      </c>
      <c r="F69" t="s">
        <v>314</v>
      </c>
      <c r="G69" t="s">
        <v>315</v>
      </c>
      <c r="H69">
        <v>146427</v>
      </c>
      <c r="I69">
        <v>332930</v>
      </c>
      <c r="K69" t="str" cm="1">
        <f t="array" ref="K69">_xlfn.IFS(Table1[[#This Row],[IMDB_Rating]]&gt;=9,"Masterpiece",Table1[[#This Row],[IMDB_Rating]]&gt;=8,"Excellent",Table1[[#This Row],[IMDB_Rating]]&gt;=7,"Good",Table1[[#This Row],[IMDB_Rating]]&lt;7,"Average")</f>
        <v>Excellent</v>
      </c>
    </row>
    <row r="70" spans="1:11" x14ac:dyDescent="0.35">
      <c r="A70" t="s">
        <v>1493</v>
      </c>
      <c r="B70">
        <v>2001</v>
      </c>
      <c r="C70">
        <v>90</v>
      </c>
      <c r="D70" t="s">
        <v>80</v>
      </c>
      <c r="E70">
        <v>7.8</v>
      </c>
      <c r="F70" t="s">
        <v>1494</v>
      </c>
      <c r="G70" t="s">
        <v>1495</v>
      </c>
      <c r="H70">
        <v>613941</v>
      </c>
      <c r="I70">
        <v>267665011</v>
      </c>
      <c r="J70">
        <v>84</v>
      </c>
      <c r="K70" t="str" cm="1">
        <f t="array" ref="K70">_xlfn.IFS(Table1[[#This Row],[IMDB_Rating]]&gt;=9,"Masterpiece",Table1[[#This Row],[IMDB_Rating]]&gt;=8,"Excellent",Table1[[#This Row],[IMDB_Rating]]&gt;=7,"Good",Table1[[#This Row],[IMDB_Rating]]&lt;7,"Average")</f>
        <v>Good</v>
      </c>
    </row>
    <row r="71" spans="1:11" x14ac:dyDescent="0.35">
      <c r="A71" t="s">
        <v>955</v>
      </c>
      <c r="B71">
        <v>1992</v>
      </c>
      <c r="C71">
        <v>90</v>
      </c>
      <c r="D71" t="s">
        <v>80</v>
      </c>
      <c r="E71">
        <v>8</v>
      </c>
      <c r="F71" t="s">
        <v>956</v>
      </c>
      <c r="G71" t="s">
        <v>957</v>
      </c>
      <c r="H71">
        <v>373845</v>
      </c>
      <c r="I71">
        <v>217350219</v>
      </c>
      <c r="J71">
        <v>86</v>
      </c>
      <c r="K71" t="str" cm="1">
        <f t="array" ref="K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72" spans="1:11" x14ac:dyDescent="0.35">
      <c r="A72" t="s">
        <v>1419</v>
      </c>
      <c r="B72">
        <v>2008</v>
      </c>
      <c r="C72">
        <v>90</v>
      </c>
      <c r="D72" t="s">
        <v>19</v>
      </c>
      <c r="E72">
        <v>7.8</v>
      </c>
      <c r="F72" t="s">
        <v>1420</v>
      </c>
      <c r="G72" t="s">
        <v>36</v>
      </c>
      <c r="H72">
        <v>564791</v>
      </c>
      <c r="I72">
        <v>145000989</v>
      </c>
      <c r="J72">
        <v>51</v>
      </c>
      <c r="K72" t="str" cm="1">
        <f t="array" ref="K72">_xlfn.IFS(Table1[[#This Row],[IMDB_Rating]]&gt;=9,"Masterpiece",Table1[[#This Row],[IMDB_Rating]]&gt;=8,"Excellent",Table1[[#This Row],[IMDB_Rating]]&gt;=7,"Good",Table1[[#This Row],[IMDB_Rating]]&lt;7,"Average")</f>
        <v>Good</v>
      </c>
    </row>
    <row r="73" spans="1:11" x14ac:dyDescent="0.35">
      <c r="A73" t="s">
        <v>1721</v>
      </c>
      <c r="B73">
        <v>2010</v>
      </c>
      <c r="C73">
        <v>90</v>
      </c>
      <c r="D73" t="s">
        <v>67</v>
      </c>
      <c r="E73">
        <v>7.7</v>
      </c>
      <c r="F73" t="s">
        <v>653</v>
      </c>
      <c r="G73" t="s">
        <v>1722</v>
      </c>
      <c r="H73">
        <v>81446</v>
      </c>
      <c r="I73">
        <v>1752214</v>
      </c>
      <c r="J73">
        <v>45</v>
      </c>
      <c r="K73" t="str" cm="1">
        <f t="array" ref="K73">_xlfn.IFS(Table1[[#This Row],[IMDB_Rating]]&gt;=9,"Masterpiece",Table1[[#This Row],[IMDB_Rating]]&gt;=8,"Excellent",Table1[[#This Row],[IMDB_Rating]]&gt;=7,"Good",Table1[[#This Row],[IMDB_Rating]]&lt;7,"Average")</f>
        <v>Good</v>
      </c>
    </row>
    <row r="74" spans="1:11" x14ac:dyDescent="0.35">
      <c r="A74" t="s">
        <v>1717</v>
      </c>
      <c r="B74">
        <v>2006</v>
      </c>
      <c r="C74">
        <v>90</v>
      </c>
      <c r="D74" t="s">
        <v>80</v>
      </c>
      <c r="E74">
        <v>7.7</v>
      </c>
      <c r="F74" t="s">
        <v>923</v>
      </c>
      <c r="G74" t="s">
        <v>1718</v>
      </c>
      <c r="H74">
        <v>71379</v>
      </c>
      <c r="I74">
        <v>881302</v>
      </c>
      <c r="J74">
        <v>81</v>
      </c>
      <c r="K74" t="str" cm="1">
        <f t="array" ref="K74">_xlfn.IFS(Table1[[#This Row],[IMDB_Rating]]&gt;=9,"Masterpiece",Table1[[#This Row],[IMDB_Rating]]&gt;=8,"Excellent",Table1[[#This Row],[IMDB_Rating]]&gt;=7,"Good",Table1[[#This Row],[IMDB_Rating]]&lt;7,"Average")</f>
        <v>Good</v>
      </c>
    </row>
    <row r="75" spans="1:11" x14ac:dyDescent="0.35">
      <c r="A75" t="s">
        <v>1610</v>
      </c>
      <c r="B75">
        <v>1960</v>
      </c>
      <c r="C75">
        <v>90</v>
      </c>
      <c r="D75" t="s">
        <v>15</v>
      </c>
      <c r="E75">
        <v>7.8</v>
      </c>
      <c r="F75" t="s">
        <v>1026</v>
      </c>
      <c r="G75" t="s">
        <v>1611</v>
      </c>
      <c r="H75">
        <v>73251</v>
      </c>
      <c r="I75">
        <v>336705</v>
      </c>
      <c r="K75" t="str" cm="1">
        <f t="array" ref="K75">_xlfn.IFS(Table1[[#This Row],[IMDB_Rating]]&gt;=9,"Masterpiece",Table1[[#This Row],[IMDB_Rating]]&gt;=8,"Excellent",Table1[[#This Row],[IMDB_Rating]]&gt;=7,"Good",Table1[[#This Row],[IMDB_Rating]]&lt;7,"Average")</f>
        <v>Good</v>
      </c>
    </row>
    <row r="76" spans="1:11" x14ac:dyDescent="0.35">
      <c r="A76" t="s">
        <v>1456</v>
      </c>
      <c r="B76">
        <v>2003</v>
      </c>
      <c r="C76">
        <v>90</v>
      </c>
      <c r="D76" t="s">
        <v>80</v>
      </c>
      <c r="E76">
        <v>7.8</v>
      </c>
      <c r="F76" t="s">
        <v>923</v>
      </c>
      <c r="G76" t="s">
        <v>1457</v>
      </c>
      <c r="H76">
        <v>31658</v>
      </c>
      <c r="I76">
        <v>128985</v>
      </c>
      <c r="J76">
        <v>73</v>
      </c>
      <c r="K76" t="str" cm="1">
        <f t="array" ref="K76">_xlfn.IFS(Table1[[#This Row],[IMDB_Rating]]&gt;=9,"Masterpiece",Table1[[#This Row],[IMDB_Rating]]&gt;=8,"Excellent",Table1[[#This Row],[IMDB_Rating]]&gt;=7,"Good",Table1[[#This Row],[IMDB_Rating]]&lt;7,"Average")</f>
        <v>Good</v>
      </c>
    </row>
    <row r="77" spans="1:11" x14ac:dyDescent="0.35">
      <c r="A77" t="s">
        <v>1276</v>
      </c>
      <c r="B77">
        <v>1959</v>
      </c>
      <c r="C77">
        <v>90</v>
      </c>
      <c r="D77" t="s">
        <v>11</v>
      </c>
      <c r="E77">
        <v>7.9</v>
      </c>
      <c r="F77" t="s">
        <v>1277</v>
      </c>
      <c r="G77" t="s">
        <v>1278</v>
      </c>
      <c r="H77">
        <v>28421</v>
      </c>
      <c r="I77">
        <v>88300</v>
      </c>
      <c r="K77" t="str" cm="1">
        <f t="array" ref="K77">_xlfn.IFS(Table1[[#This Row],[IMDB_Rating]]&gt;=9,"Masterpiece",Table1[[#This Row],[IMDB_Rating]]&gt;=8,"Excellent",Table1[[#This Row],[IMDB_Rating]]&gt;=7,"Good",Table1[[#This Row],[IMDB_Rating]]&lt;7,"Average")</f>
        <v>Good</v>
      </c>
    </row>
    <row r="78" spans="1:11" x14ac:dyDescent="0.35">
      <c r="A78" t="s">
        <v>1934</v>
      </c>
      <c r="B78">
        <v>1960</v>
      </c>
      <c r="C78">
        <v>90</v>
      </c>
      <c r="D78" t="s">
        <v>11</v>
      </c>
      <c r="E78">
        <v>7.7</v>
      </c>
      <c r="F78" t="s">
        <v>1935</v>
      </c>
      <c r="G78" t="s">
        <v>1936</v>
      </c>
      <c r="H78">
        <v>27620</v>
      </c>
      <c r="I78">
        <v>52709</v>
      </c>
      <c r="J78">
        <v>90</v>
      </c>
      <c r="K78" t="str" cm="1">
        <f t="array" ref="K78">_xlfn.IFS(Table1[[#This Row],[IMDB_Rating]]&gt;=9,"Masterpiece",Table1[[#This Row],[IMDB_Rating]]&gt;=8,"Excellent",Table1[[#This Row],[IMDB_Rating]]&gt;=7,"Good",Table1[[#This Row],[IMDB_Rating]]&lt;7,"Average")</f>
        <v>Good</v>
      </c>
    </row>
    <row r="79" spans="1:11" x14ac:dyDescent="0.35">
      <c r="A79" t="s">
        <v>2056</v>
      </c>
      <c r="B79">
        <v>2004</v>
      </c>
      <c r="C79">
        <v>90</v>
      </c>
      <c r="D79" t="s">
        <v>15</v>
      </c>
      <c r="E79">
        <v>7.6</v>
      </c>
      <c r="F79" t="s">
        <v>1729</v>
      </c>
      <c r="G79" t="s">
        <v>1777</v>
      </c>
      <c r="H79">
        <v>49728</v>
      </c>
      <c r="I79">
        <v>6013</v>
      </c>
      <c r="J79">
        <v>52</v>
      </c>
      <c r="K79" t="str" cm="1">
        <f t="array" ref="K79">_xlfn.IFS(Table1[[#This Row],[IMDB_Rating]]&gt;=9,"Masterpiece",Table1[[#This Row],[IMDB_Rating]]&gt;=8,"Excellent",Table1[[#This Row],[IMDB_Rating]]&gt;=7,"Good",Table1[[#This Row],[IMDB_Rating]]&lt;7,"Average")</f>
        <v>Good</v>
      </c>
    </row>
    <row r="80" spans="1:11" x14ac:dyDescent="0.35">
      <c r="A80" t="s">
        <v>1256</v>
      </c>
      <c r="B80">
        <v>1971</v>
      </c>
      <c r="C80">
        <v>91</v>
      </c>
      <c r="D80" t="s">
        <v>67</v>
      </c>
      <c r="E80">
        <v>7.9</v>
      </c>
      <c r="F80" t="s">
        <v>987</v>
      </c>
      <c r="G80" t="s">
        <v>1257</v>
      </c>
      <c r="H80">
        <v>70826</v>
      </c>
      <c r="I80">
        <v>804935438</v>
      </c>
      <c r="J80">
        <v>62</v>
      </c>
      <c r="K80" t="str" cm="1">
        <f t="array" ref="K80">_xlfn.IFS(Table1[[#This Row],[IMDB_Rating]]&gt;=9,"Masterpiece",Table1[[#This Row],[IMDB_Rating]]&gt;=8,"Excellent",Table1[[#This Row],[IMDB_Rating]]&gt;=7,"Good",Table1[[#This Row],[IMDB_Rating]]&lt;7,"Average")</f>
        <v>Good</v>
      </c>
    </row>
    <row r="81" spans="1:11" x14ac:dyDescent="0.35">
      <c r="A81" t="s">
        <v>1940</v>
      </c>
      <c r="B81">
        <v>1955</v>
      </c>
      <c r="C81">
        <v>91</v>
      </c>
      <c r="D81" t="s">
        <v>67</v>
      </c>
      <c r="E81">
        <v>7.7</v>
      </c>
      <c r="F81" t="s">
        <v>1040</v>
      </c>
      <c r="G81" t="s">
        <v>1941</v>
      </c>
      <c r="H81">
        <v>26464</v>
      </c>
      <c r="I81">
        <v>333324782</v>
      </c>
      <c r="J81">
        <v>91</v>
      </c>
      <c r="K81" t="str" cm="1">
        <f t="array" ref="K81">_xlfn.IFS(Table1[[#This Row],[IMDB_Rating]]&gt;=9,"Masterpiece",Table1[[#This Row],[IMDB_Rating]]&gt;=8,"Excellent",Table1[[#This Row],[IMDB_Rating]]&gt;=7,"Good",Table1[[#This Row],[IMDB_Rating]]&lt;7,"Average")</f>
        <v>Good</v>
      </c>
    </row>
    <row r="82" spans="1:11" x14ac:dyDescent="0.35">
      <c r="A82" t="s">
        <v>1693</v>
      </c>
      <c r="B82">
        <v>2013</v>
      </c>
      <c r="C82">
        <v>91</v>
      </c>
      <c r="D82" t="s">
        <v>11</v>
      </c>
      <c r="E82">
        <v>7.7</v>
      </c>
      <c r="F82" t="s">
        <v>1184</v>
      </c>
      <c r="G82" t="s">
        <v>1694</v>
      </c>
      <c r="H82">
        <v>769145</v>
      </c>
      <c r="I82">
        <v>274092705</v>
      </c>
      <c r="J82">
        <v>96</v>
      </c>
      <c r="K82" t="str" cm="1">
        <f t="array" ref="K82">_xlfn.IFS(Table1[[#This Row],[IMDB_Rating]]&gt;=9,"Masterpiece",Table1[[#This Row],[IMDB_Rating]]&gt;=8,"Excellent",Table1[[#This Row],[IMDB_Rating]]&gt;=7,"Good",Table1[[#This Row],[IMDB_Rating]]&lt;7,"Average")</f>
        <v>Good</v>
      </c>
    </row>
    <row r="83" spans="1:11" x14ac:dyDescent="0.35">
      <c r="A83" t="s">
        <v>2162</v>
      </c>
      <c r="B83">
        <v>1978</v>
      </c>
      <c r="C83">
        <v>91</v>
      </c>
      <c r="D83" t="s">
        <v>80</v>
      </c>
      <c r="E83">
        <v>7.6</v>
      </c>
      <c r="F83" t="s">
        <v>2163</v>
      </c>
      <c r="G83" t="s">
        <v>2164</v>
      </c>
      <c r="H83">
        <v>33656</v>
      </c>
      <c r="I83">
        <v>232841485</v>
      </c>
      <c r="J83">
        <v>64</v>
      </c>
      <c r="K83" t="str" cm="1">
        <f t="array" ref="K83">_xlfn.IFS(Table1[[#This Row],[IMDB_Rating]]&gt;=9,"Masterpiece",Table1[[#This Row],[IMDB_Rating]]&gt;=8,"Excellent",Table1[[#This Row],[IMDB_Rating]]&gt;=7,"Good",Table1[[#This Row],[IMDB_Rating]]&lt;7,"Average")</f>
        <v>Good</v>
      </c>
    </row>
    <row r="84" spans="1:11" x14ac:dyDescent="0.35">
      <c r="A84" t="s">
        <v>460</v>
      </c>
      <c r="B84">
        <v>1957</v>
      </c>
      <c r="C84">
        <v>91</v>
      </c>
      <c r="D84" t="s">
        <v>11</v>
      </c>
      <c r="E84">
        <v>8.1999999999999993</v>
      </c>
      <c r="F84" t="s">
        <v>437</v>
      </c>
      <c r="G84" t="s">
        <v>461</v>
      </c>
      <c r="H84">
        <v>96381</v>
      </c>
      <c r="I84">
        <v>144259257</v>
      </c>
      <c r="J84">
        <v>88</v>
      </c>
      <c r="K84" t="str" cm="1">
        <f t="array" ref="K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" spans="1:11" x14ac:dyDescent="0.35">
      <c r="A85" t="s">
        <v>1890</v>
      </c>
      <c r="B85">
        <v>1978</v>
      </c>
      <c r="C85">
        <v>91</v>
      </c>
      <c r="D85" t="s">
        <v>145</v>
      </c>
      <c r="E85">
        <v>7.7</v>
      </c>
      <c r="F85" t="s">
        <v>664</v>
      </c>
      <c r="G85" t="s">
        <v>1891</v>
      </c>
      <c r="H85">
        <v>233106</v>
      </c>
      <c r="I85">
        <v>47000000</v>
      </c>
      <c r="J85">
        <v>87</v>
      </c>
      <c r="K85" t="str" cm="1">
        <f t="array" ref="K85">_xlfn.IFS(Table1[[#This Row],[IMDB_Rating]]&gt;=9,"Masterpiece",Table1[[#This Row],[IMDB_Rating]]&gt;=8,"Excellent",Table1[[#This Row],[IMDB_Rating]]&gt;=7,"Good",Table1[[#This Row],[IMDB_Rating]]&lt;7,"Average")</f>
        <v>Good</v>
      </c>
    </row>
    <row r="86" spans="1:11" x14ac:dyDescent="0.35">
      <c r="A86" t="s">
        <v>1074</v>
      </c>
      <c r="B86">
        <v>1934</v>
      </c>
      <c r="C86">
        <v>91</v>
      </c>
      <c r="D86" t="s">
        <v>67</v>
      </c>
      <c r="E86">
        <v>8</v>
      </c>
      <c r="F86" t="s">
        <v>1075</v>
      </c>
      <c r="G86" t="s">
        <v>1076</v>
      </c>
      <c r="H86">
        <v>26642</v>
      </c>
      <c r="I86">
        <v>40687532</v>
      </c>
      <c r="J86">
        <v>86</v>
      </c>
      <c r="K86" t="str" cm="1">
        <f t="array" ref="K8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" spans="1:11" x14ac:dyDescent="0.35">
      <c r="A87" t="s">
        <v>694</v>
      </c>
      <c r="B87">
        <v>1972</v>
      </c>
      <c r="C87">
        <v>91</v>
      </c>
      <c r="D87" t="s">
        <v>11</v>
      </c>
      <c r="E87">
        <v>8.1</v>
      </c>
      <c r="F87" t="s">
        <v>437</v>
      </c>
      <c r="G87" t="s">
        <v>695</v>
      </c>
      <c r="H87">
        <v>30206</v>
      </c>
      <c r="I87">
        <v>1742348</v>
      </c>
      <c r="K87" t="str" cm="1">
        <f t="array" ref="K8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" spans="1:11" x14ac:dyDescent="0.35">
      <c r="A88" t="s">
        <v>445</v>
      </c>
      <c r="B88">
        <v>1975</v>
      </c>
      <c r="C88">
        <v>91</v>
      </c>
      <c r="D88" t="s">
        <v>74</v>
      </c>
      <c r="E88">
        <v>8.1999999999999993</v>
      </c>
      <c r="F88" t="s">
        <v>446</v>
      </c>
      <c r="G88" t="s">
        <v>447</v>
      </c>
      <c r="H88">
        <v>500875</v>
      </c>
      <c r="I88">
        <v>1229197</v>
      </c>
      <c r="J88">
        <v>91</v>
      </c>
      <c r="K88" t="str" cm="1">
        <f t="array" ref="K88">_xlfn.IFS(Table1[[#This Row],[IMDB_Rating]]&gt;=9,"Masterpiece",Table1[[#This Row],[IMDB_Rating]]&gt;=8,"Excellent",Table1[[#This Row],[IMDB_Rating]]&gt;=7,"Good",Table1[[#This Row],[IMDB_Rating]]&lt;7,"Average")</f>
        <v>Excellent</v>
      </c>
    </row>
    <row r="89" spans="1:11" x14ac:dyDescent="0.35">
      <c r="A89" t="s">
        <v>1944</v>
      </c>
      <c r="B89">
        <v>1951</v>
      </c>
      <c r="C89">
        <v>92</v>
      </c>
      <c r="D89" t="s">
        <v>11</v>
      </c>
      <c r="E89">
        <v>7.7</v>
      </c>
      <c r="F89" t="s">
        <v>1018</v>
      </c>
      <c r="G89" t="s">
        <v>1945</v>
      </c>
      <c r="H89">
        <v>76315</v>
      </c>
      <c r="I89">
        <v>895071115</v>
      </c>
      <c r="K89" t="str" cm="1">
        <f t="array" ref="K89">_xlfn.IFS(Table1[[#This Row],[IMDB_Rating]]&gt;=9,"Masterpiece",Table1[[#This Row],[IMDB_Rating]]&gt;=8,"Excellent",Table1[[#This Row],[IMDB_Rating]]&gt;=7,"Good",Table1[[#This Row],[IMDB_Rating]]&lt;7,"Average")</f>
        <v>Good</v>
      </c>
    </row>
    <row r="90" spans="1:11" x14ac:dyDescent="0.35">
      <c r="A90" t="s">
        <v>571</v>
      </c>
      <c r="B90">
        <v>2009</v>
      </c>
      <c r="C90">
        <v>92</v>
      </c>
      <c r="D90" t="s">
        <v>80</v>
      </c>
      <c r="E90">
        <v>8.1</v>
      </c>
      <c r="F90" t="s">
        <v>572</v>
      </c>
      <c r="G90" t="s">
        <v>573</v>
      </c>
      <c r="H90">
        <v>164462</v>
      </c>
      <c r="I90">
        <v>873839108</v>
      </c>
      <c r="K90" t="str" cm="1">
        <f t="array" ref="K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" spans="1:11" x14ac:dyDescent="0.35">
      <c r="A91" t="s">
        <v>606</v>
      </c>
      <c r="B91">
        <v>2001</v>
      </c>
      <c r="C91">
        <v>92</v>
      </c>
      <c r="D91" t="s">
        <v>80</v>
      </c>
      <c r="E91">
        <v>8.1</v>
      </c>
      <c r="F91" t="s">
        <v>376</v>
      </c>
      <c r="G91" t="s">
        <v>607</v>
      </c>
      <c r="H91">
        <v>815505</v>
      </c>
      <c r="I91">
        <v>289916256</v>
      </c>
      <c r="J91">
        <v>79</v>
      </c>
      <c r="K91" t="str" cm="1">
        <f t="array" ref="K9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" spans="1:11" x14ac:dyDescent="0.35">
      <c r="A92" t="s">
        <v>1207</v>
      </c>
      <c r="B92">
        <v>1999</v>
      </c>
      <c r="C92">
        <v>92</v>
      </c>
      <c r="D92" t="s">
        <v>80</v>
      </c>
      <c r="E92">
        <v>7.9</v>
      </c>
      <c r="F92" t="s">
        <v>271</v>
      </c>
      <c r="G92" t="s">
        <v>1208</v>
      </c>
      <c r="H92">
        <v>527512</v>
      </c>
      <c r="I92">
        <v>245852179</v>
      </c>
      <c r="J92">
        <v>88</v>
      </c>
      <c r="K92" t="str" cm="1">
        <f t="array" ref="K92">_xlfn.IFS(Table1[[#This Row],[IMDB_Rating]]&gt;=9,"Masterpiece",Table1[[#This Row],[IMDB_Rating]]&gt;=8,"Excellent",Table1[[#This Row],[IMDB_Rating]]&gt;=7,"Good",Table1[[#This Row],[IMDB_Rating]]&lt;7,"Average")</f>
        <v>Good</v>
      </c>
    </row>
    <row r="93" spans="1:11" x14ac:dyDescent="0.35">
      <c r="A93" t="s">
        <v>2155</v>
      </c>
      <c r="B93">
        <v>1979</v>
      </c>
      <c r="C93">
        <v>92</v>
      </c>
      <c r="D93" t="s">
        <v>19</v>
      </c>
      <c r="E93">
        <v>7.6</v>
      </c>
      <c r="F93" t="s">
        <v>2156</v>
      </c>
      <c r="G93" t="s">
        <v>2157</v>
      </c>
      <c r="H93">
        <v>93878</v>
      </c>
      <c r="I93">
        <v>22490039</v>
      </c>
      <c r="J93">
        <v>65</v>
      </c>
      <c r="K93" t="str" cm="1">
        <f t="array" ref="K93">_xlfn.IFS(Table1[[#This Row],[IMDB_Rating]]&gt;=9,"Masterpiece",Table1[[#This Row],[IMDB_Rating]]&gt;=8,"Excellent",Table1[[#This Row],[IMDB_Rating]]&gt;=7,"Good",Table1[[#This Row],[IMDB_Rating]]&lt;7,"Average")</f>
        <v>Good</v>
      </c>
    </row>
    <row r="94" spans="1:11" x14ac:dyDescent="0.35">
      <c r="A94" t="s">
        <v>1835</v>
      </c>
      <c r="B94">
        <v>1994</v>
      </c>
      <c r="C94">
        <v>92</v>
      </c>
      <c r="D94" t="s">
        <v>67</v>
      </c>
      <c r="E94">
        <v>7.7</v>
      </c>
      <c r="F94" t="s">
        <v>1836</v>
      </c>
      <c r="G94" t="s">
        <v>1837</v>
      </c>
      <c r="H94">
        <v>211450</v>
      </c>
      <c r="I94">
        <v>3151130</v>
      </c>
      <c r="J94">
        <v>70</v>
      </c>
      <c r="K94" t="str" cm="1">
        <f t="array" ref="K94">_xlfn.IFS(Table1[[#This Row],[IMDB_Rating]]&gt;=9,"Masterpiece",Table1[[#This Row],[IMDB_Rating]]&gt;=8,"Excellent",Table1[[#This Row],[IMDB_Rating]]&gt;=7,"Good",Table1[[#This Row],[IMDB_Rating]]&lt;7,"Average")</f>
        <v>Good</v>
      </c>
    </row>
    <row r="95" spans="1:11" x14ac:dyDescent="0.35">
      <c r="A95" t="s">
        <v>2127</v>
      </c>
      <c r="B95">
        <v>1994</v>
      </c>
      <c r="C95">
        <v>92</v>
      </c>
      <c r="D95" t="s">
        <v>67</v>
      </c>
      <c r="E95">
        <v>7.6</v>
      </c>
      <c r="F95" t="s">
        <v>637</v>
      </c>
      <c r="G95" t="s">
        <v>2128</v>
      </c>
      <c r="H95">
        <v>64390</v>
      </c>
      <c r="I95">
        <v>1464625</v>
      </c>
      <c r="J95">
        <v>88</v>
      </c>
      <c r="K95" t="str" cm="1">
        <f t="array" ref="K95">_xlfn.IFS(Table1[[#This Row],[IMDB_Rating]]&gt;=9,"Masterpiece",Table1[[#This Row],[IMDB_Rating]]&gt;=8,"Excellent",Table1[[#This Row],[IMDB_Rating]]&gt;=7,"Good",Table1[[#This Row],[IMDB_Rating]]&lt;7,"Average")</f>
        <v>Good</v>
      </c>
    </row>
    <row r="96" spans="1:11" x14ac:dyDescent="0.35">
      <c r="A96" t="s">
        <v>1044</v>
      </c>
      <c r="B96">
        <v>1955</v>
      </c>
      <c r="C96">
        <v>92</v>
      </c>
      <c r="D96" t="s">
        <v>15</v>
      </c>
      <c r="E96">
        <v>8</v>
      </c>
      <c r="F96" t="s">
        <v>1045</v>
      </c>
      <c r="G96" t="s">
        <v>1046</v>
      </c>
      <c r="H96">
        <v>81980</v>
      </c>
      <c r="I96">
        <v>654000</v>
      </c>
      <c r="J96">
        <v>99</v>
      </c>
      <c r="K96" t="str" cm="1">
        <f t="array" ref="K9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" spans="1:11" x14ac:dyDescent="0.35">
      <c r="A97" t="s">
        <v>1298</v>
      </c>
      <c r="B97">
        <v>1940</v>
      </c>
      <c r="C97">
        <v>92</v>
      </c>
      <c r="D97" t="s">
        <v>67</v>
      </c>
      <c r="E97">
        <v>7.9</v>
      </c>
      <c r="F97" t="s">
        <v>1032</v>
      </c>
      <c r="G97" t="s">
        <v>306</v>
      </c>
      <c r="H97">
        <v>53667</v>
      </c>
      <c r="I97">
        <v>296000</v>
      </c>
      <c r="K97" t="str" cm="1">
        <f t="array" ref="K97">_xlfn.IFS(Table1[[#This Row],[IMDB_Rating]]&gt;=9,"Masterpiece",Table1[[#This Row],[IMDB_Rating]]&gt;=8,"Excellent",Table1[[#This Row],[IMDB_Rating]]&gt;=7,"Good",Table1[[#This Row],[IMDB_Rating]]&lt;7,"Average")</f>
        <v>Good</v>
      </c>
    </row>
    <row r="98" spans="1:11" x14ac:dyDescent="0.35">
      <c r="A98" t="s">
        <v>1897</v>
      </c>
      <c r="B98">
        <v>1974</v>
      </c>
      <c r="C98">
        <v>93</v>
      </c>
      <c r="D98" t="s">
        <v>67</v>
      </c>
      <c r="E98">
        <v>7.7</v>
      </c>
      <c r="F98" t="s">
        <v>994</v>
      </c>
      <c r="G98" t="s">
        <v>1898</v>
      </c>
      <c r="H98">
        <v>125993</v>
      </c>
      <c r="I98">
        <v>119500000</v>
      </c>
      <c r="J98">
        <v>73</v>
      </c>
      <c r="K98" t="str" cm="1">
        <f t="array" ref="K98">_xlfn.IFS(Table1[[#This Row],[IMDB_Rating]]&gt;=9,"Masterpiece",Table1[[#This Row],[IMDB_Rating]]&gt;=8,"Excellent",Table1[[#This Row],[IMDB_Rating]]&gt;=7,"Good",Table1[[#This Row],[IMDB_Rating]]&lt;7,"Average")</f>
        <v>Good</v>
      </c>
    </row>
    <row r="99" spans="1:11" x14ac:dyDescent="0.35">
      <c r="A99" t="s">
        <v>568</v>
      </c>
      <c r="B99">
        <v>2009</v>
      </c>
      <c r="C99">
        <v>93</v>
      </c>
      <c r="D99" t="s">
        <v>34</v>
      </c>
      <c r="E99">
        <v>8.1</v>
      </c>
      <c r="F99" t="s">
        <v>569</v>
      </c>
      <c r="G99" t="s">
        <v>570</v>
      </c>
      <c r="H99">
        <v>253575</v>
      </c>
      <c r="I99">
        <v>91090444</v>
      </c>
      <c r="K99" t="str" cm="1">
        <f t="array" ref="K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100" spans="1:11" x14ac:dyDescent="0.35">
      <c r="A100" t="s">
        <v>1629</v>
      </c>
      <c r="B100">
        <v>1932</v>
      </c>
      <c r="C100">
        <v>93</v>
      </c>
      <c r="D100" t="s">
        <v>19</v>
      </c>
      <c r="E100">
        <v>7.8</v>
      </c>
      <c r="F100" t="s">
        <v>1032</v>
      </c>
      <c r="G100" t="s">
        <v>1630</v>
      </c>
      <c r="H100">
        <v>25312</v>
      </c>
      <c r="I100">
        <v>82900837</v>
      </c>
      <c r="J100">
        <v>87</v>
      </c>
      <c r="K100" t="str" cm="1">
        <f t="array" ref="K100">_xlfn.IFS(Table1[[#This Row],[IMDB_Rating]]&gt;=9,"Masterpiece",Table1[[#This Row],[IMDB_Rating]]&gt;=8,"Excellent",Table1[[#This Row],[IMDB_Rating]]&gt;=7,"Good",Table1[[#This Row],[IMDB_Rating]]&lt;7,"Average")</f>
        <v>Good</v>
      </c>
    </row>
    <row r="101" spans="1:11" x14ac:dyDescent="0.35">
      <c r="A101" t="s">
        <v>2148</v>
      </c>
      <c r="B101">
        <v>1987</v>
      </c>
      <c r="C101">
        <v>93</v>
      </c>
      <c r="D101" t="s">
        <v>67</v>
      </c>
      <c r="E101">
        <v>7.6</v>
      </c>
      <c r="F101" t="s">
        <v>1549</v>
      </c>
      <c r="G101" t="s">
        <v>2149</v>
      </c>
      <c r="H101">
        <v>124773</v>
      </c>
      <c r="I101">
        <v>49530280</v>
      </c>
      <c r="J101">
        <v>72</v>
      </c>
      <c r="K101" t="str" cm="1">
        <f t="array" ref="K101">_xlfn.IFS(Table1[[#This Row],[IMDB_Rating]]&gt;=9,"Masterpiece",Table1[[#This Row],[IMDB_Rating]]&gt;=8,"Excellent",Table1[[#This Row],[IMDB_Rating]]&gt;=7,"Good",Table1[[#This Row],[IMDB_Rating]]&lt;7,"Average")</f>
        <v>Good</v>
      </c>
    </row>
    <row r="102" spans="1:11" x14ac:dyDescent="0.35">
      <c r="A102" t="s">
        <v>1880</v>
      </c>
      <c r="B102">
        <v>1982</v>
      </c>
      <c r="C102">
        <v>93</v>
      </c>
      <c r="D102" t="s">
        <v>19</v>
      </c>
      <c r="E102">
        <v>7.7</v>
      </c>
      <c r="F102" t="s">
        <v>1881</v>
      </c>
      <c r="G102" t="s">
        <v>684</v>
      </c>
      <c r="H102">
        <v>226541</v>
      </c>
      <c r="I102">
        <v>47212904</v>
      </c>
      <c r="J102">
        <v>61</v>
      </c>
      <c r="K102" t="str" cm="1">
        <f t="array" ref="K102">_xlfn.IFS(Table1[[#This Row],[IMDB_Rating]]&gt;=9,"Masterpiece",Table1[[#This Row],[IMDB_Rating]]&gt;=8,"Excellent",Table1[[#This Row],[IMDB_Rating]]&gt;=7,"Good",Table1[[#This Row],[IMDB_Rating]]&lt;7,"Average")</f>
        <v>Good</v>
      </c>
    </row>
    <row r="103" spans="1:11" x14ac:dyDescent="0.35">
      <c r="A103" t="s">
        <v>988</v>
      </c>
      <c r="B103">
        <v>1977</v>
      </c>
      <c r="C103">
        <v>93</v>
      </c>
      <c r="D103" t="s">
        <v>67</v>
      </c>
      <c r="E103">
        <v>8</v>
      </c>
      <c r="F103" t="s">
        <v>989</v>
      </c>
      <c r="G103" t="s">
        <v>989</v>
      </c>
      <c r="H103">
        <v>251823</v>
      </c>
      <c r="I103">
        <v>39200000</v>
      </c>
      <c r="J103">
        <v>92</v>
      </c>
      <c r="K103" t="str" cm="1">
        <f t="array" ref="K103">_xlfn.IFS(Table1[[#This Row],[IMDB_Rating]]&gt;=9,"Masterpiece",Table1[[#This Row],[IMDB_Rating]]&gt;=8,"Excellent",Table1[[#This Row],[IMDB_Rating]]&gt;=7,"Good",Table1[[#This Row],[IMDB_Rating]]&lt;7,"Average")</f>
        <v>Excellent</v>
      </c>
    </row>
    <row r="104" spans="1:11" x14ac:dyDescent="0.35">
      <c r="A104" t="s">
        <v>1235</v>
      </c>
      <c r="B104">
        <v>1983</v>
      </c>
      <c r="C104">
        <v>93</v>
      </c>
      <c r="D104" t="s">
        <v>67</v>
      </c>
      <c r="E104">
        <v>7.9</v>
      </c>
      <c r="F104" t="s">
        <v>1236</v>
      </c>
      <c r="G104" t="s">
        <v>1237</v>
      </c>
      <c r="H104">
        <v>132947</v>
      </c>
      <c r="I104">
        <v>20605209</v>
      </c>
      <c r="J104">
        <v>77</v>
      </c>
      <c r="K104" t="str" cm="1">
        <f t="array" ref="K104">_xlfn.IFS(Table1[[#This Row],[IMDB_Rating]]&gt;=9,"Masterpiece",Table1[[#This Row],[IMDB_Rating]]&gt;=8,"Excellent",Table1[[#This Row],[IMDB_Rating]]&gt;=7,"Good",Table1[[#This Row],[IMDB_Rating]]&lt;7,"Average")</f>
        <v>Good</v>
      </c>
    </row>
    <row r="105" spans="1:11" x14ac:dyDescent="0.35">
      <c r="A105" t="s">
        <v>1809</v>
      </c>
      <c r="B105">
        <v>1998</v>
      </c>
      <c r="C105">
        <v>93</v>
      </c>
      <c r="D105" t="s">
        <v>67</v>
      </c>
      <c r="E105">
        <v>7.7</v>
      </c>
      <c r="F105" t="s">
        <v>523</v>
      </c>
      <c r="G105" t="s">
        <v>1810</v>
      </c>
      <c r="H105">
        <v>169229</v>
      </c>
      <c r="I105">
        <v>17105219</v>
      </c>
      <c r="J105">
        <v>86</v>
      </c>
      <c r="K105" t="str" cm="1">
        <f t="array" ref="K105">_xlfn.IFS(Table1[[#This Row],[IMDB_Rating]]&gt;=9,"Masterpiece",Table1[[#This Row],[IMDB_Rating]]&gt;=8,"Excellent",Table1[[#This Row],[IMDB_Rating]]&gt;=7,"Good",Table1[[#This Row],[IMDB_Rating]]&lt;7,"Average")</f>
        <v>Good</v>
      </c>
    </row>
    <row r="106" spans="1:11" x14ac:dyDescent="0.35">
      <c r="A106" t="s">
        <v>624</v>
      </c>
      <c r="B106">
        <v>1996</v>
      </c>
      <c r="C106">
        <v>93</v>
      </c>
      <c r="D106" t="s">
        <v>11</v>
      </c>
      <c r="E106">
        <v>8.1</v>
      </c>
      <c r="F106" t="s">
        <v>625</v>
      </c>
      <c r="G106" t="s">
        <v>626</v>
      </c>
      <c r="H106">
        <v>634716</v>
      </c>
      <c r="I106">
        <v>16501785</v>
      </c>
      <c r="J106">
        <v>83</v>
      </c>
      <c r="K106" t="str" cm="1">
        <f t="array" ref="K1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07" spans="1:11" x14ac:dyDescent="0.35">
      <c r="A107" t="s">
        <v>546</v>
      </c>
      <c r="B107">
        <v>2014</v>
      </c>
      <c r="C107">
        <v>93</v>
      </c>
      <c r="D107" t="s">
        <v>80</v>
      </c>
      <c r="E107">
        <v>8.1</v>
      </c>
      <c r="F107" t="s">
        <v>547</v>
      </c>
      <c r="G107" t="s">
        <v>548</v>
      </c>
      <c r="H107">
        <v>51679</v>
      </c>
      <c r="I107">
        <v>857524</v>
      </c>
      <c r="J107">
        <v>85</v>
      </c>
      <c r="K107" t="str" cm="1">
        <f t="array" ref="K107">_xlfn.IFS(Table1[[#This Row],[IMDB_Rating]]&gt;=9,"Masterpiece",Table1[[#This Row],[IMDB_Rating]]&gt;=8,"Excellent",Table1[[#This Row],[IMDB_Rating]]&gt;=7,"Good",Table1[[#This Row],[IMDB_Rating]]&lt;7,"Average")</f>
        <v>Excellent</v>
      </c>
    </row>
    <row r="108" spans="1:11" x14ac:dyDescent="0.35">
      <c r="A108" t="s">
        <v>2073</v>
      </c>
      <c r="B108">
        <v>2003</v>
      </c>
      <c r="C108">
        <v>93</v>
      </c>
      <c r="D108" t="s">
        <v>67</v>
      </c>
      <c r="E108">
        <v>7.6</v>
      </c>
      <c r="F108" t="s">
        <v>2074</v>
      </c>
      <c r="G108" t="s">
        <v>2075</v>
      </c>
      <c r="H108">
        <v>67360</v>
      </c>
      <c r="I108">
        <v>548707</v>
      </c>
      <c r="J108">
        <v>45</v>
      </c>
      <c r="K108" t="str" cm="1">
        <f t="array" ref="K108">_xlfn.IFS(Table1[[#This Row],[IMDB_Rating]]&gt;=9,"Masterpiece",Table1[[#This Row],[IMDB_Rating]]&gt;=8,"Excellent",Table1[[#This Row],[IMDB_Rating]]&gt;=7,"Good",Table1[[#This Row],[IMDB_Rating]]&lt;7,"Average")</f>
        <v>Good</v>
      </c>
    </row>
    <row r="109" spans="1:11" x14ac:dyDescent="0.35">
      <c r="A109" t="s">
        <v>1847</v>
      </c>
      <c r="B109">
        <v>1992</v>
      </c>
      <c r="C109">
        <v>94</v>
      </c>
      <c r="D109" t="s">
        <v>80</v>
      </c>
      <c r="E109">
        <v>7.7</v>
      </c>
      <c r="F109" t="s">
        <v>81</v>
      </c>
      <c r="G109" t="s">
        <v>1848</v>
      </c>
      <c r="H109">
        <v>77798</v>
      </c>
      <c r="I109">
        <v>871544815</v>
      </c>
      <c r="J109">
        <v>83</v>
      </c>
      <c r="K109" t="str" cm="1">
        <f t="array" ref="K109">_xlfn.IFS(Table1[[#This Row],[IMDB_Rating]]&gt;=9,"Masterpiece",Table1[[#This Row],[IMDB_Rating]]&gt;=8,"Excellent",Table1[[#This Row],[IMDB_Rating]]&gt;=7,"Good",Table1[[#This Row],[IMDB_Rating]]&lt;7,"Average")</f>
        <v>Good</v>
      </c>
    </row>
    <row r="110" spans="1:11" x14ac:dyDescent="0.35">
      <c r="A110" t="s">
        <v>1222</v>
      </c>
      <c r="B110">
        <v>1993</v>
      </c>
      <c r="C110">
        <v>94</v>
      </c>
      <c r="D110" t="s">
        <v>80</v>
      </c>
      <c r="E110">
        <v>7.9</v>
      </c>
      <c r="F110" t="s">
        <v>1223</v>
      </c>
      <c r="G110" t="s">
        <v>1224</v>
      </c>
      <c r="H110">
        <v>34529</v>
      </c>
      <c r="I110">
        <v>713576404</v>
      </c>
      <c r="K110" t="str" cm="1">
        <f t="array" ref="K110">_xlfn.IFS(Table1[[#This Row],[IMDB_Rating]]&gt;=9,"Masterpiece",Table1[[#This Row],[IMDB_Rating]]&gt;=8,"Excellent",Table1[[#This Row],[IMDB_Rating]]&gt;=7,"Good",Table1[[#This Row],[IMDB_Rating]]&lt;7,"Average")</f>
        <v>Good</v>
      </c>
    </row>
    <row r="111" spans="1:11" x14ac:dyDescent="0.35">
      <c r="A111" t="s">
        <v>1054</v>
      </c>
      <c r="B111">
        <v>1950</v>
      </c>
      <c r="C111">
        <v>94</v>
      </c>
      <c r="D111" t="s">
        <v>11</v>
      </c>
      <c r="E111">
        <v>8</v>
      </c>
      <c r="F111" t="s">
        <v>1055</v>
      </c>
      <c r="G111" t="s">
        <v>150</v>
      </c>
      <c r="H111">
        <v>26784</v>
      </c>
      <c r="I111">
        <v>532877349</v>
      </c>
      <c r="K111" t="str" cm="1">
        <f t="array" ref="K11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12" spans="1:11" x14ac:dyDescent="0.35">
      <c r="A112" t="s">
        <v>1310</v>
      </c>
      <c r="B112">
        <v>1922</v>
      </c>
      <c r="C112">
        <v>94</v>
      </c>
      <c r="D112" t="s">
        <v>772</v>
      </c>
      <c r="E112">
        <v>7.9</v>
      </c>
      <c r="F112" t="s">
        <v>767</v>
      </c>
      <c r="G112" t="s">
        <v>1311</v>
      </c>
      <c r="H112">
        <v>88794</v>
      </c>
      <c r="I112">
        <v>445151978</v>
      </c>
      <c r="K112" t="str" cm="1">
        <f t="array" ref="K112">_xlfn.IFS(Table1[[#This Row],[IMDB_Rating]]&gt;=9,"Masterpiece",Table1[[#This Row],[IMDB_Rating]]&gt;=8,"Excellent",Table1[[#This Row],[IMDB_Rating]]&gt;=7,"Good",Table1[[#This Row],[IMDB_Rating]]&lt;7,"Average")</f>
        <v>Good</v>
      </c>
    </row>
    <row r="113" spans="1:11" x14ac:dyDescent="0.35">
      <c r="A113" t="s">
        <v>1573</v>
      </c>
      <c r="B113">
        <v>1978</v>
      </c>
      <c r="C113">
        <v>94</v>
      </c>
      <c r="D113" t="s">
        <v>11</v>
      </c>
      <c r="E113">
        <v>7.8</v>
      </c>
      <c r="F113" t="s">
        <v>1574</v>
      </c>
      <c r="G113" t="s">
        <v>570</v>
      </c>
      <c r="H113">
        <v>52852</v>
      </c>
      <c r="I113">
        <v>116446147</v>
      </c>
      <c r="J113">
        <v>93</v>
      </c>
      <c r="K113" t="str" cm="1">
        <f t="array" ref="K113">_xlfn.IFS(Table1[[#This Row],[IMDB_Rating]]&gt;=9,"Masterpiece",Table1[[#This Row],[IMDB_Rating]]&gt;=8,"Excellent",Table1[[#This Row],[IMDB_Rating]]&gt;=7,"Good",Table1[[#This Row],[IMDB_Rating]]&lt;7,"Average")</f>
        <v>Good</v>
      </c>
    </row>
    <row r="114" spans="1:11" x14ac:dyDescent="0.35">
      <c r="A114" t="s">
        <v>1584</v>
      </c>
      <c r="B114">
        <v>1973</v>
      </c>
      <c r="C114">
        <v>94</v>
      </c>
      <c r="D114" t="s">
        <v>19</v>
      </c>
      <c r="E114">
        <v>7.8</v>
      </c>
      <c r="F114" t="s">
        <v>1574</v>
      </c>
      <c r="G114" t="s">
        <v>206</v>
      </c>
      <c r="H114">
        <v>66009</v>
      </c>
      <c r="I114">
        <v>88117434</v>
      </c>
      <c r="J114">
        <v>93</v>
      </c>
      <c r="K114" t="str" cm="1">
        <f t="array" ref="K114">_xlfn.IFS(Table1[[#This Row],[IMDB_Rating]]&gt;=9,"Masterpiece",Table1[[#This Row],[IMDB_Rating]]&gt;=8,"Excellent",Table1[[#This Row],[IMDB_Rating]]&gt;=7,"Good",Table1[[#This Row],[IMDB_Rating]]&lt;7,"Average")</f>
        <v>Good</v>
      </c>
    </row>
    <row r="115" spans="1:11" x14ac:dyDescent="0.35">
      <c r="A115" t="s">
        <v>1381</v>
      </c>
      <c r="B115">
        <v>2012</v>
      </c>
      <c r="C115">
        <v>94</v>
      </c>
      <c r="D115" t="s">
        <v>67</v>
      </c>
      <c r="E115">
        <v>7.8</v>
      </c>
      <c r="F115" t="s">
        <v>523</v>
      </c>
      <c r="G115" t="s">
        <v>1382</v>
      </c>
      <c r="H115">
        <v>318789</v>
      </c>
      <c r="I115">
        <v>45512466</v>
      </c>
      <c r="J115">
        <v>84</v>
      </c>
      <c r="K115" t="str" cm="1">
        <f t="array" ref="K115">_xlfn.IFS(Table1[[#This Row],[IMDB_Rating]]&gt;=9,"Masterpiece",Table1[[#This Row],[IMDB_Rating]]&gt;=8,"Excellent",Table1[[#This Row],[IMDB_Rating]]&gt;=7,"Good",Table1[[#This Row],[IMDB_Rating]]&lt;7,"Average")</f>
        <v>Good</v>
      </c>
    </row>
    <row r="116" spans="1:11" x14ac:dyDescent="0.35">
      <c r="A116" t="s">
        <v>678</v>
      </c>
      <c r="B116">
        <v>1979</v>
      </c>
      <c r="C116">
        <v>94</v>
      </c>
      <c r="D116" t="s">
        <v>67</v>
      </c>
      <c r="E116">
        <v>8.1</v>
      </c>
      <c r="F116" t="s">
        <v>447</v>
      </c>
      <c r="G116" t="s">
        <v>679</v>
      </c>
      <c r="H116">
        <v>367250</v>
      </c>
      <c r="I116">
        <v>20045115</v>
      </c>
      <c r="J116">
        <v>77</v>
      </c>
      <c r="K116" t="str" cm="1">
        <f t="array" ref="K11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17" spans="1:11" x14ac:dyDescent="0.35">
      <c r="A117" t="s">
        <v>2007</v>
      </c>
      <c r="B117">
        <v>2010</v>
      </c>
      <c r="C117">
        <v>94</v>
      </c>
      <c r="D117" t="s">
        <v>80</v>
      </c>
      <c r="E117">
        <v>7.6</v>
      </c>
      <c r="F117" t="s">
        <v>1655</v>
      </c>
      <c r="G117" t="s">
        <v>2008</v>
      </c>
      <c r="H117">
        <v>80939</v>
      </c>
      <c r="I117">
        <v>19202743</v>
      </c>
      <c r="J117">
        <v>80</v>
      </c>
      <c r="K117" t="str" cm="1">
        <f t="array" ref="K117">_xlfn.IFS(Table1[[#This Row],[IMDB_Rating]]&gt;=9,"Masterpiece",Table1[[#This Row],[IMDB_Rating]]&gt;=8,"Excellent",Table1[[#This Row],[IMDB_Rating]]&gt;=7,"Good",Table1[[#This Row],[IMDB_Rating]]&lt;7,"Average")</f>
        <v>Good</v>
      </c>
    </row>
    <row r="118" spans="1:11" x14ac:dyDescent="0.35">
      <c r="A118" t="s">
        <v>1421</v>
      </c>
      <c r="B118">
        <v>2008</v>
      </c>
      <c r="C118">
        <v>94</v>
      </c>
      <c r="D118" t="s">
        <v>11</v>
      </c>
      <c r="E118">
        <v>7.8</v>
      </c>
      <c r="F118" t="s">
        <v>1422</v>
      </c>
      <c r="G118" t="s">
        <v>1423</v>
      </c>
      <c r="H118">
        <v>190748</v>
      </c>
      <c r="I118">
        <v>9030581</v>
      </c>
      <c r="J118">
        <v>55</v>
      </c>
      <c r="K118" t="str" cm="1">
        <f t="array" ref="K118">_xlfn.IFS(Table1[[#This Row],[IMDB_Rating]]&gt;=9,"Masterpiece",Table1[[#This Row],[IMDB_Rating]]&gt;=8,"Excellent",Table1[[#This Row],[IMDB_Rating]]&gt;=7,"Good",Table1[[#This Row],[IMDB_Rating]]&lt;7,"Average")</f>
        <v>Good</v>
      </c>
    </row>
    <row r="119" spans="1:11" x14ac:dyDescent="0.35">
      <c r="A119" t="s">
        <v>1352</v>
      </c>
      <c r="B119">
        <v>2017</v>
      </c>
      <c r="C119">
        <v>94</v>
      </c>
      <c r="D119" t="s">
        <v>80</v>
      </c>
      <c r="E119">
        <v>7.8</v>
      </c>
      <c r="F119" t="s">
        <v>1353</v>
      </c>
      <c r="G119" t="s">
        <v>1354</v>
      </c>
      <c r="H119">
        <v>50778</v>
      </c>
      <c r="I119">
        <v>6735118</v>
      </c>
      <c r="J119">
        <v>62</v>
      </c>
      <c r="K119" t="str" cm="1">
        <f t="array" ref="K119">_xlfn.IFS(Table1[[#This Row],[IMDB_Rating]]&gt;=9,"Masterpiece",Table1[[#This Row],[IMDB_Rating]]&gt;=8,"Excellent",Table1[[#This Row],[IMDB_Rating]]&gt;=7,"Good",Table1[[#This Row],[IMDB_Rating]]&lt;7,"Average")</f>
        <v>Good</v>
      </c>
    </row>
    <row r="120" spans="1:11" x14ac:dyDescent="0.35">
      <c r="A120" t="s">
        <v>1220</v>
      </c>
      <c r="B120">
        <v>1993</v>
      </c>
      <c r="C120">
        <v>94</v>
      </c>
      <c r="D120" t="s">
        <v>11</v>
      </c>
      <c r="E120">
        <v>7.9</v>
      </c>
      <c r="F120" t="s">
        <v>637</v>
      </c>
      <c r="G120" t="s">
        <v>1221</v>
      </c>
      <c r="H120">
        <v>89836</v>
      </c>
      <c r="I120">
        <v>1324974</v>
      </c>
      <c r="J120">
        <v>85</v>
      </c>
      <c r="K120" t="str" cm="1">
        <f t="array" ref="K120">_xlfn.IFS(Table1[[#This Row],[IMDB_Rating]]&gt;=9,"Masterpiece",Table1[[#This Row],[IMDB_Rating]]&gt;=8,"Excellent",Table1[[#This Row],[IMDB_Rating]]&gt;=7,"Good",Table1[[#This Row],[IMDB_Rating]]&lt;7,"Average")</f>
        <v>Good</v>
      </c>
    </row>
    <row r="121" spans="1:11" x14ac:dyDescent="0.35">
      <c r="A121" t="s">
        <v>766</v>
      </c>
      <c r="B121">
        <v>1927</v>
      </c>
      <c r="C121">
        <v>94</v>
      </c>
      <c r="D121" t="s">
        <v>11</v>
      </c>
      <c r="E121">
        <v>8.1</v>
      </c>
      <c r="F121" t="s">
        <v>767</v>
      </c>
      <c r="G121" t="s">
        <v>768</v>
      </c>
      <c r="H121">
        <v>46865</v>
      </c>
      <c r="I121">
        <v>539540</v>
      </c>
      <c r="K121" t="str" cm="1">
        <f t="array" ref="K12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22" spans="1:11" x14ac:dyDescent="0.35">
      <c r="A122" t="s">
        <v>1451</v>
      </c>
      <c r="B122">
        <v>2005</v>
      </c>
      <c r="C122">
        <v>94</v>
      </c>
      <c r="D122" t="s">
        <v>67</v>
      </c>
      <c r="E122">
        <v>7.8</v>
      </c>
      <c r="F122" t="s">
        <v>1452</v>
      </c>
      <c r="G122" t="s">
        <v>926</v>
      </c>
      <c r="H122">
        <v>45717</v>
      </c>
      <c r="I122">
        <v>1305</v>
      </c>
      <c r="J122">
        <v>51</v>
      </c>
      <c r="K122" t="str" cm="1">
        <f t="array" ref="K122">_xlfn.IFS(Table1[[#This Row],[IMDB_Rating]]&gt;=9,"Masterpiece",Table1[[#This Row],[IMDB_Rating]]&gt;=8,"Excellent",Table1[[#This Row],[IMDB_Rating]]&gt;=7,"Good",Table1[[#This Row],[IMDB_Rating]]&lt;7,"Average")</f>
        <v>Good</v>
      </c>
    </row>
    <row r="123" spans="1:11" x14ac:dyDescent="0.35">
      <c r="A123" t="s">
        <v>1255</v>
      </c>
      <c r="B123">
        <v>1972</v>
      </c>
      <c r="C123">
        <v>95</v>
      </c>
      <c r="D123" t="s">
        <v>19</v>
      </c>
      <c r="E123">
        <v>7.9</v>
      </c>
      <c r="F123" t="s">
        <v>670</v>
      </c>
      <c r="G123" t="s">
        <v>671</v>
      </c>
      <c r="H123">
        <v>52397</v>
      </c>
      <c r="I123">
        <v>508046921</v>
      </c>
      <c r="K123" t="str" cm="1">
        <f t="array" ref="K123">_xlfn.IFS(Table1[[#This Row],[IMDB_Rating]]&gt;=9,"Masterpiece",Table1[[#This Row],[IMDB_Rating]]&gt;=8,"Excellent",Table1[[#This Row],[IMDB_Rating]]&gt;=7,"Good",Table1[[#This Row],[IMDB_Rating]]&lt;7,"Average")</f>
        <v>Good</v>
      </c>
    </row>
    <row r="124" spans="1:11" x14ac:dyDescent="0.35">
      <c r="A124" t="s">
        <v>718</v>
      </c>
      <c r="B124">
        <v>1962</v>
      </c>
      <c r="C124">
        <v>95</v>
      </c>
      <c r="D124" t="s">
        <v>11</v>
      </c>
      <c r="E124">
        <v>8.1</v>
      </c>
      <c r="F124" t="s">
        <v>434</v>
      </c>
      <c r="G124" t="s">
        <v>719</v>
      </c>
      <c r="H124">
        <v>31728</v>
      </c>
      <c r="I124">
        <v>388466313</v>
      </c>
      <c r="K124" t="str" cm="1">
        <f t="array" ref="K124">_xlfn.IFS(Table1[[#This Row],[IMDB_Rating]]&gt;=9,"Masterpiece",Table1[[#This Row],[IMDB_Rating]]&gt;=8,"Excellent",Table1[[#This Row],[IMDB_Rating]]&gt;=7,"Good",Table1[[#This Row],[IMDB_Rating]]&lt;7,"Average")</f>
        <v>Excellent</v>
      </c>
    </row>
    <row r="125" spans="1:11" x14ac:dyDescent="0.35">
      <c r="A125" t="s">
        <v>532</v>
      </c>
      <c r="B125">
        <v>2015</v>
      </c>
      <c r="C125">
        <v>95</v>
      </c>
      <c r="D125" t="s">
        <v>80</v>
      </c>
      <c r="E125">
        <v>8.1</v>
      </c>
      <c r="F125" t="s">
        <v>376</v>
      </c>
      <c r="G125" t="s">
        <v>533</v>
      </c>
      <c r="H125">
        <v>616228</v>
      </c>
      <c r="I125">
        <v>356461711</v>
      </c>
      <c r="J125">
        <v>94</v>
      </c>
      <c r="K125" t="str" cm="1">
        <f t="array" ref="K1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126" spans="1:11" x14ac:dyDescent="0.35">
      <c r="A126" t="s">
        <v>710</v>
      </c>
      <c r="B126">
        <v>1962</v>
      </c>
      <c r="C126">
        <v>95</v>
      </c>
      <c r="D126" t="s">
        <v>11</v>
      </c>
      <c r="E126">
        <v>8.1</v>
      </c>
      <c r="F126" t="s">
        <v>711</v>
      </c>
      <c r="G126" t="s">
        <v>712</v>
      </c>
      <c r="H126">
        <v>29682</v>
      </c>
      <c r="I126">
        <v>345262196</v>
      </c>
      <c r="K126" t="str" cm="1">
        <f t="array" ref="K12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27" spans="1:11" x14ac:dyDescent="0.35">
      <c r="A127" t="s">
        <v>2014</v>
      </c>
      <c r="B127">
        <v>2010</v>
      </c>
      <c r="C127">
        <v>95</v>
      </c>
      <c r="D127" t="s">
        <v>80</v>
      </c>
      <c r="E127">
        <v>7.6</v>
      </c>
      <c r="F127" t="s">
        <v>2015</v>
      </c>
      <c r="G127" t="s">
        <v>2016</v>
      </c>
      <c r="H127">
        <v>500851</v>
      </c>
      <c r="I127">
        <v>251513985</v>
      </c>
      <c r="J127">
        <v>72</v>
      </c>
      <c r="K127" t="str" cm="1">
        <f t="array" ref="K127">_xlfn.IFS(Table1[[#This Row],[IMDB_Rating]]&gt;=9,"Masterpiece",Table1[[#This Row],[IMDB_Rating]]&gt;=8,"Excellent",Table1[[#This Row],[IMDB_Rating]]&gt;=7,"Good",Table1[[#This Row],[IMDB_Rating]]&lt;7,"Average")</f>
        <v>Good</v>
      </c>
    </row>
    <row r="128" spans="1:11" x14ac:dyDescent="0.35">
      <c r="A128" t="s">
        <v>2143</v>
      </c>
      <c r="B128">
        <v>1989</v>
      </c>
      <c r="C128">
        <v>95</v>
      </c>
      <c r="D128" t="s">
        <v>67</v>
      </c>
      <c r="E128">
        <v>7.6</v>
      </c>
      <c r="F128" t="s">
        <v>653</v>
      </c>
      <c r="G128" t="s">
        <v>2144</v>
      </c>
      <c r="H128">
        <v>195663</v>
      </c>
      <c r="I128">
        <v>92823600</v>
      </c>
      <c r="J128">
        <v>76</v>
      </c>
      <c r="K128" t="str" cm="1">
        <f t="array" ref="K128">_xlfn.IFS(Table1[[#This Row],[IMDB_Rating]]&gt;=9,"Masterpiece",Table1[[#This Row],[IMDB_Rating]]&gt;=8,"Excellent",Table1[[#This Row],[IMDB_Rating]]&gt;=7,"Good",Table1[[#This Row],[IMDB_Rating]]&lt;7,"Average")</f>
        <v>Good</v>
      </c>
    </row>
    <row r="129" spans="1:11" x14ac:dyDescent="0.35">
      <c r="A129" t="s">
        <v>2158</v>
      </c>
      <c r="B129">
        <v>1979</v>
      </c>
      <c r="C129">
        <v>95</v>
      </c>
      <c r="D129" t="s">
        <v>74</v>
      </c>
      <c r="E129">
        <v>7.6</v>
      </c>
      <c r="F129" t="s">
        <v>2159</v>
      </c>
      <c r="G129" t="s">
        <v>2160</v>
      </c>
      <c r="H129">
        <v>32802</v>
      </c>
      <c r="I129">
        <v>76657000</v>
      </c>
      <c r="J129">
        <v>74</v>
      </c>
      <c r="K129" t="str" cm="1">
        <f t="array" ref="K129">_xlfn.IFS(Table1[[#This Row],[IMDB_Rating]]&gt;=9,"Masterpiece",Table1[[#This Row],[IMDB_Rating]]&gt;=8,"Excellent",Table1[[#This Row],[IMDB_Rating]]&gt;=7,"Good",Table1[[#This Row],[IMDB_Rating]]&lt;7,"Average")</f>
        <v>Good</v>
      </c>
    </row>
    <row r="130" spans="1:11" x14ac:dyDescent="0.35">
      <c r="A130" t="s">
        <v>1709</v>
      </c>
      <c r="B130">
        <v>2009</v>
      </c>
      <c r="C130">
        <v>95</v>
      </c>
      <c r="D130" t="s">
        <v>67</v>
      </c>
      <c r="E130">
        <v>7.7</v>
      </c>
      <c r="F130" t="s">
        <v>1710</v>
      </c>
      <c r="G130" t="s">
        <v>1711</v>
      </c>
      <c r="H130">
        <v>472242</v>
      </c>
      <c r="I130">
        <v>32391374</v>
      </c>
      <c r="J130">
        <v>76</v>
      </c>
      <c r="K130" t="str" cm="1">
        <f t="array" ref="K130">_xlfn.IFS(Table1[[#This Row],[IMDB_Rating]]&gt;=9,"Masterpiece",Table1[[#This Row],[IMDB_Rating]]&gt;=8,"Excellent",Table1[[#This Row],[IMDB_Rating]]&gt;=7,"Good",Table1[[#This Row],[IMDB_Rating]]&lt;7,"Average")</f>
        <v>Good</v>
      </c>
    </row>
    <row r="131" spans="1:11" x14ac:dyDescent="0.35">
      <c r="A131" t="s">
        <v>666</v>
      </c>
      <c r="B131">
        <v>1982</v>
      </c>
      <c r="C131">
        <v>95</v>
      </c>
      <c r="D131" t="s">
        <v>11</v>
      </c>
      <c r="E131">
        <v>8.1</v>
      </c>
      <c r="F131" t="s">
        <v>667</v>
      </c>
      <c r="G131" t="s">
        <v>668</v>
      </c>
      <c r="H131">
        <v>76081</v>
      </c>
      <c r="I131">
        <v>22244207</v>
      </c>
      <c r="J131">
        <v>47</v>
      </c>
      <c r="K131" t="str" cm="1">
        <f t="array" ref="K13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32" spans="1:11" x14ac:dyDescent="0.35">
      <c r="A132" t="s">
        <v>481</v>
      </c>
      <c r="B132">
        <v>1925</v>
      </c>
      <c r="C132">
        <v>95</v>
      </c>
      <c r="D132" t="s">
        <v>74</v>
      </c>
      <c r="E132">
        <v>8.1999999999999993</v>
      </c>
      <c r="F132" t="s">
        <v>152</v>
      </c>
      <c r="G132" t="s">
        <v>152</v>
      </c>
      <c r="H132">
        <v>101053</v>
      </c>
      <c r="I132">
        <v>5450000</v>
      </c>
      <c r="K132" t="str" cm="1">
        <f t="array" ref="K132">_xlfn.IFS(Table1[[#This Row],[IMDB_Rating]]&gt;=9,"Masterpiece",Table1[[#This Row],[IMDB_Rating]]&gt;=8,"Excellent",Table1[[#This Row],[IMDB_Rating]]&gt;=7,"Good",Table1[[#This Row],[IMDB_Rating]]&lt;7,"Average")</f>
        <v>Excellent</v>
      </c>
    </row>
    <row r="133" spans="1:11" x14ac:dyDescent="0.35">
      <c r="A133" t="s">
        <v>1789</v>
      </c>
      <c r="B133">
        <v>2001</v>
      </c>
      <c r="C133">
        <v>95</v>
      </c>
      <c r="D133" t="s">
        <v>67</v>
      </c>
      <c r="E133">
        <v>7.7</v>
      </c>
      <c r="F133" t="s">
        <v>1790</v>
      </c>
      <c r="G133" t="s">
        <v>1790</v>
      </c>
      <c r="H133">
        <v>31957</v>
      </c>
      <c r="I133">
        <v>3029081</v>
      </c>
      <c r="J133">
        <v>85</v>
      </c>
      <c r="K133" t="str" cm="1">
        <f t="array" ref="K133">_xlfn.IFS(Table1[[#This Row],[IMDB_Rating]]&gt;=9,"Masterpiece",Table1[[#This Row],[IMDB_Rating]]&gt;=8,"Excellent",Table1[[#This Row],[IMDB_Rating]]&gt;=7,"Good",Table1[[#This Row],[IMDB_Rating]]&lt;7,"Average")</f>
        <v>Good</v>
      </c>
    </row>
    <row r="134" spans="1:11" x14ac:dyDescent="0.35">
      <c r="A134" t="s">
        <v>1036</v>
      </c>
      <c r="B134">
        <v>1958</v>
      </c>
      <c r="C134">
        <v>95</v>
      </c>
      <c r="D134" t="s">
        <v>15</v>
      </c>
      <c r="E134">
        <v>8</v>
      </c>
      <c r="F134" t="s">
        <v>319</v>
      </c>
      <c r="G134" t="s">
        <v>727</v>
      </c>
      <c r="H134">
        <v>98431</v>
      </c>
      <c r="I134">
        <v>2237659</v>
      </c>
      <c r="J134">
        <v>99</v>
      </c>
      <c r="K134" t="str" cm="1">
        <f t="array" ref="K134">_xlfn.IFS(Table1[[#This Row],[IMDB_Rating]]&gt;=9,"Masterpiece",Table1[[#This Row],[IMDB_Rating]]&gt;=8,"Excellent",Table1[[#This Row],[IMDB_Rating]]&gt;=7,"Good",Table1[[#This Row],[IMDB_Rating]]&lt;7,"Average")</f>
        <v>Excellent</v>
      </c>
    </row>
    <row r="135" spans="1:11" x14ac:dyDescent="0.35">
      <c r="A135" t="s">
        <v>213</v>
      </c>
      <c r="B135">
        <v>1964</v>
      </c>
      <c r="C135">
        <v>95</v>
      </c>
      <c r="D135" t="s">
        <v>67</v>
      </c>
      <c r="E135">
        <v>8.4</v>
      </c>
      <c r="F135" t="s">
        <v>204</v>
      </c>
      <c r="G135" t="s">
        <v>214</v>
      </c>
      <c r="H135">
        <v>450474</v>
      </c>
      <c r="I135">
        <v>275902</v>
      </c>
      <c r="J135">
        <v>97</v>
      </c>
      <c r="K135" t="str" cm="1">
        <f t="array" ref="K135">_xlfn.IFS(Table1[[#This Row],[IMDB_Rating]]&gt;=9,"Masterpiece",Table1[[#This Row],[IMDB_Rating]]&gt;=8,"Excellent",Table1[[#This Row],[IMDB_Rating]]&gt;=7,"Good",Table1[[#This Row],[IMDB_Rating]]&lt;7,"Average")</f>
        <v>Excellent</v>
      </c>
    </row>
    <row r="136" spans="1:11" x14ac:dyDescent="0.35">
      <c r="A136" t="s">
        <v>715</v>
      </c>
      <c r="B136">
        <v>1962</v>
      </c>
      <c r="C136">
        <v>96</v>
      </c>
      <c r="D136" t="s">
        <v>19</v>
      </c>
      <c r="E136">
        <v>8.1</v>
      </c>
      <c r="F136" t="s">
        <v>98</v>
      </c>
      <c r="G136" t="s">
        <v>99</v>
      </c>
      <c r="H136">
        <v>33044</v>
      </c>
      <c r="I136">
        <v>848120995</v>
      </c>
      <c r="K136" t="str" cm="1">
        <f t="array" ref="K13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37" spans="1:11" x14ac:dyDescent="0.35">
      <c r="A137" t="s">
        <v>462</v>
      </c>
      <c r="B137">
        <v>1957</v>
      </c>
      <c r="C137">
        <v>96</v>
      </c>
      <c r="D137" t="s">
        <v>11</v>
      </c>
      <c r="E137">
        <v>8.1999999999999993</v>
      </c>
      <c r="F137" t="s">
        <v>437</v>
      </c>
      <c r="G137" t="s">
        <v>463</v>
      </c>
      <c r="H137">
        <v>164939</v>
      </c>
      <c r="I137">
        <v>805742063</v>
      </c>
      <c r="J137">
        <v>88</v>
      </c>
      <c r="K137" t="str" cm="1">
        <f t="array" ref="K1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138" spans="1:11" x14ac:dyDescent="0.35">
      <c r="A138" t="s">
        <v>1322</v>
      </c>
      <c r="B138">
        <v>2016</v>
      </c>
      <c r="C138">
        <v>96</v>
      </c>
      <c r="D138" t="s">
        <v>67</v>
      </c>
      <c r="E138">
        <v>7.8</v>
      </c>
      <c r="F138" t="s">
        <v>1323</v>
      </c>
      <c r="G138" t="s">
        <v>1324</v>
      </c>
      <c r="H138">
        <v>57168</v>
      </c>
      <c r="I138">
        <v>729888765</v>
      </c>
      <c r="K138" t="str" cm="1">
        <f t="array" ref="K138">_xlfn.IFS(Table1[[#This Row],[IMDB_Rating]]&gt;=9,"Masterpiece",Table1[[#This Row],[IMDB_Rating]]&gt;=8,"Excellent",Table1[[#This Row],[IMDB_Rating]]&gt;=7,"Good",Table1[[#This Row],[IMDB_Rating]]&lt;7,"Average")</f>
        <v>Good</v>
      </c>
    </row>
    <row r="139" spans="1:11" x14ac:dyDescent="0.35">
      <c r="A139" t="s">
        <v>1039</v>
      </c>
      <c r="B139">
        <v>1957</v>
      </c>
      <c r="C139">
        <v>96</v>
      </c>
      <c r="D139" t="s">
        <v>11</v>
      </c>
      <c r="E139">
        <v>8</v>
      </c>
      <c r="F139" t="s">
        <v>1040</v>
      </c>
      <c r="G139" t="s">
        <v>1041</v>
      </c>
      <c r="H139">
        <v>28137</v>
      </c>
      <c r="I139">
        <v>490441324</v>
      </c>
      <c r="J139">
        <v>100</v>
      </c>
      <c r="K139" t="str" cm="1">
        <f t="array" ref="K139">_xlfn.IFS(Table1[[#This Row],[IMDB_Rating]]&gt;=9,"Masterpiece",Table1[[#This Row],[IMDB_Rating]]&gt;=8,"Excellent",Table1[[#This Row],[IMDB_Rating]]&gt;=7,"Good",Table1[[#This Row],[IMDB_Rating]]&lt;7,"Average")</f>
        <v>Excellent</v>
      </c>
    </row>
    <row r="140" spans="1:11" x14ac:dyDescent="0.35">
      <c r="A140" t="s">
        <v>1619</v>
      </c>
      <c r="B140">
        <v>1938</v>
      </c>
      <c r="C140">
        <v>96</v>
      </c>
      <c r="D140" t="s">
        <v>196</v>
      </c>
      <c r="E140">
        <v>7.8</v>
      </c>
      <c r="F140" t="s">
        <v>146</v>
      </c>
      <c r="G140" t="s">
        <v>1620</v>
      </c>
      <c r="H140">
        <v>47400</v>
      </c>
      <c r="I140">
        <v>474203697</v>
      </c>
      <c r="J140">
        <v>98</v>
      </c>
      <c r="K140" t="str" cm="1">
        <f t="array" ref="K140">_xlfn.IFS(Table1[[#This Row],[IMDB_Rating]]&gt;=9,"Masterpiece",Table1[[#This Row],[IMDB_Rating]]&gt;=8,"Excellent",Table1[[#This Row],[IMDB_Rating]]&gt;=7,"Good",Table1[[#This Row],[IMDB_Rating]]&lt;7,"Average")</f>
        <v>Good</v>
      </c>
    </row>
    <row r="141" spans="1:11" x14ac:dyDescent="0.35">
      <c r="A141" t="s">
        <v>1618</v>
      </c>
      <c r="B141">
        <v>1939</v>
      </c>
      <c r="C141">
        <v>96</v>
      </c>
      <c r="D141" t="s">
        <v>74</v>
      </c>
      <c r="E141">
        <v>7.8</v>
      </c>
      <c r="F141" t="s">
        <v>717</v>
      </c>
      <c r="G141" t="s">
        <v>1033</v>
      </c>
      <c r="H141">
        <v>43621</v>
      </c>
      <c r="I141">
        <v>404971331</v>
      </c>
      <c r="J141">
        <v>93</v>
      </c>
      <c r="K141" t="str" cm="1">
        <f t="array" ref="K141">_xlfn.IFS(Table1[[#This Row],[IMDB_Rating]]&gt;=9,"Masterpiece",Table1[[#This Row],[IMDB_Rating]]&gt;=8,"Excellent",Table1[[#This Row],[IMDB_Rating]]&gt;=7,"Good",Table1[[#This Row],[IMDB_Rating]]&lt;7,"Average")</f>
        <v>Good</v>
      </c>
    </row>
    <row r="142" spans="1:11" x14ac:dyDescent="0.35">
      <c r="A142" t="s">
        <v>375</v>
      </c>
      <c r="B142">
        <v>2009</v>
      </c>
      <c r="C142">
        <v>96</v>
      </c>
      <c r="D142" t="s">
        <v>80</v>
      </c>
      <c r="E142">
        <v>8.1999999999999993</v>
      </c>
      <c r="F142" t="s">
        <v>376</v>
      </c>
      <c r="G142" t="s">
        <v>377</v>
      </c>
      <c r="H142">
        <v>935507</v>
      </c>
      <c r="I142">
        <v>293004164</v>
      </c>
      <c r="J142">
        <v>88</v>
      </c>
      <c r="K142" t="str" cm="1">
        <f t="array" ref="K142">_xlfn.IFS(Table1[[#This Row],[IMDB_Rating]]&gt;=9,"Masterpiece",Table1[[#This Row],[IMDB_Rating]]&gt;=8,"Excellent",Table1[[#This Row],[IMDB_Rating]]&gt;=7,"Good",Table1[[#This Row],[IMDB_Rating]]&lt;7,"Average")</f>
        <v>Excellent</v>
      </c>
    </row>
    <row r="143" spans="1:11" x14ac:dyDescent="0.35">
      <c r="A143" t="s">
        <v>346</v>
      </c>
      <c r="B143">
        <v>2019</v>
      </c>
      <c r="C143">
        <v>96</v>
      </c>
      <c r="D143" t="s">
        <v>80</v>
      </c>
      <c r="E143">
        <v>8.1999999999999993</v>
      </c>
      <c r="F143" t="s">
        <v>347</v>
      </c>
      <c r="G143" t="s">
        <v>348</v>
      </c>
      <c r="H143">
        <v>104761</v>
      </c>
      <c r="I143">
        <v>148596026</v>
      </c>
      <c r="J143">
        <v>65</v>
      </c>
      <c r="K143" t="str" cm="1">
        <f t="array" ref="K143">_xlfn.IFS(Table1[[#This Row],[IMDB_Rating]]&gt;=9,"Masterpiece",Table1[[#This Row],[IMDB_Rating]]&gt;=8,"Excellent",Table1[[#This Row],[IMDB_Rating]]&gt;=7,"Good",Table1[[#This Row],[IMDB_Rating]]&lt;7,"Average")</f>
        <v>Excellent</v>
      </c>
    </row>
    <row r="144" spans="1:11" x14ac:dyDescent="0.35">
      <c r="A144" t="s">
        <v>1688</v>
      </c>
      <c r="B144">
        <v>2011</v>
      </c>
      <c r="C144">
        <v>96</v>
      </c>
      <c r="D144" t="s">
        <v>67</v>
      </c>
      <c r="E144">
        <v>7.7</v>
      </c>
      <c r="F144" t="s">
        <v>989</v>
      </c>
      <c r="G144" t="s">
        <v>1689</v>
      </c>
      <c r="H144">
        <v>388089</v>
      </c>
      <c r="I144">
        <v>56816662</v>
      </c>
      <c r="J144">
        <v>81</v>
      </c>
      <c r="K144" t="str" cm="1">
        <f t="array" ref="K144">_xlfn.IFS(Table1[[#This Row],[IMDB_Rating]]&gt;=9,"Masterpiece",Table1[[#This Row],[IMDB_Rating]]&gt;=8,"Excellent",Table1[[#This Row],[IMDB_Rating]]&gt;=7,"Good",Table1[[#This Row],[IMDB_Rating]]&lt;7,"Average")</f>
        <v>Good</v>
      </c>
    </row>
    <row r="145" spans="1:11" x14ac:dyDescent="0.35">
      <c r="A145" t="s">
        <v>1241</v>
      </c>
      <c r="B145">
        <v>1979</v>
      </c>
      <c r="C145">
        <v>96</v>
      </c>
      <c r="D145" t="s">
        <v>67</v>
      </c>
      <c r="E145">
        <v>7.9</v>
      </c>
      <c r="F145" t="s">
        <v>989</v>
      </c>
      <c r="G145" t="s">
        <v>989</v>
      </c>
      <c r="H145">
        <v>131436</v>
      </c>
      <c r="I145">
        <v>45700000</v>
      </c>
      <c r="J145">
        <v>83</v>
      </c>
      <c r="K145" t="str" cm="1">
        <f t="array" ref="K145">_xlfn.IFS(Table1[[#This Row],[IMDB_Rating]]&gt;=9,"Masterpiece",Table1[[#This Row],[IMDB_Rating]]&gt;=8,"Excellent",Table1[[#This Row],[IMDB_Rating]]&gt;=7,"Good",Table1[[#This Row],[IMDB_Rating]]&lt;7,"Average")</f>
        <v>Good</v>
      </c>
    </row>
    <row r="146" spans="1:11" x14ac:dyDescent="0.35">
      <c r="A146" t="s">
        <v>2154</v>
      </c>
      <c r="B146">
        <v>1981</v>
      </c>
      <c r="C146">
        <v>96</v>
      </c>
      <c r="D146" t="s">
        <v>19</v>
      </c>
      <c r="E146">
        <v>7.6</v>
      </c>
      <c r="F146" t="s">
        <v>557</v>
      </c>
      <c r="G146" t="s">
        <v>273</v>
      </c>
      <c r="H146">
        <v>166588</v>
      </c>
      <c r="I146">
        <v>12465371</v>
      </c>
      <c r="J146">
        <v>77</v>
      </c>
      <c r="K146" t="str" cm="1">
        <f t="array" ref="K146">_xlfn.IFS(Table1[[#This Row],[IMDB_Rating]]&gt;=9,"Masterpiece",Table1[[#This Row],[IMDB_Rating]]&gt;=8,"Excellent",Table1[[#This Row],[IMDB_Rating]]&gt;=7,"Good",Table1[[#This Row],[IMDB_Rating]]&lt;7,"Average")</f>
        <v>Good</v>
      </c>
    </row>
    <row r="147" spans="1:11" x14ac:dyDescent="0.35">
      <c r="A147" t="s">
        <v>854</v>
      </c>
      <c r="B147">
        <v>2007</v>
      </c>
      <c r="C147">
        <v>96</v>
      </c>
      <c r="D147" t="s">
        <v>80</v>
      </c>
      <c r="E147">
        <v>8</v>
      </c>
      <c r="F147" t="s">
        <v>855</v>
      </c>
      <c r="G147" t="s">
        <v>856</v>
      </c>
      <c r="H147">
        <v>88656</v>
      </c>
      <c r="I147">
        <v>4445756</v>
      </c>
      <c r="J147">
        <v>90</v>
      </c>
      <c r="K147" t="str" cm="1">
        <f t="array" ref="K1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148" spans="1:11" x14ac:dyDescent="0.35">
      <c r="A148" t="s">
        <v>24</v>
      </c>
      <c r="B148">
        <v>1957</v>
      </c>
      <c r="C148">
        <v>96</v>
      </c>
      <c r="D148" t="s">
        <v>15</v>
      </c>
      <c r="E148">
        <v>9</v>
      </c>
      <c r="F148" t="s">
        <v>25</v>
      </c>
      <c r="G148" t="s">
        <v>26</v>
      </c>
      <c r="H148">
        <v>689845</v>
      </c>
      <c r="I148">
        <v>4360000</v>
      </c>
      <c r="J148">
        <v>96</v>
      </c>
      <c r="K148" t="str" cm="1">
        <f t="array" ref="K148">_xlfn.IFS(Table1[[#This Row],[IMDB_Rating]]&gt;=9,"Masterpiece",Table1[[#This Row],[IMDB_Rating]]&gt;=8,"Excellent",Table1[[#This Row],[IMDB_Rating]]&gt;=7,"Good",Table1[[#This Row],[IMDB_Rating]]&lt;7,"Average")</f>
        <v>Masterpiece</v>
      </c>
    </row>
    <row r="149" spans="1:11" x14ac:dyDescent="0.35">
      <c r="A149" t="s">
        <v>1291</v>
      </c>
      <c r="B149">
        <v>1947</v>
      </c>
      <c r="C149">
        <v>96</v>
      </c>
      <c r="D149" t="s">
        <v>67</v>
      </c>
      <c r="E149">
        <v>7.9</v>
      </c>
      <c r="F149" t="s">
        <v>1292</v>
      </c>
      <c r="G149" t="s">
        <v>1293</v>
      </c>
      <c r="H149">
        <v>41625</v>
      </c>
      <c r="I149">
        <v>2650000</v>
      </c>
      <c r="J149">
        <v>88</v>
      </c>
      <c r="K149" t="str" cm="1">
        <f t="array" ref="K149">_xlfn.IFS(Table1[[#This Row],[IMDB_Rating]]&gt;=9,"Masterpiece",Table1[[#This Row],[IMDB_Rating]]&gt;=8,"Excellent",Table1[[#This Row],[IMDB_Rating]]&gt;=7,"Good",Table1[[#This Row],[IMDB_Rating]]&lt;7,"Average")</f>
        <v>Good</v>
      </c>
    </row>
    <row r="150" spans="1:11" x14ac:dyDescent="0.35">
      <c r="A150" t="s">
        <v>1301</v>
      </c>
      <c r="B150">
        <v>1935</v>
      </c>
      <c r="C150">
        <v>96</v>
      </c>
      <c r="D150" t="s">
        <v>67</v>
      </c>
      <c r="E150">
        <v>7.9</v>
      </c>
      <c r="F150" t="s">
        <v>1302</v>
      </c>
      <c r="G150" t="s">
        <v>1303</v>
      </c>
      <c r="H150">
        <v>30580</v>
      </c>
      <c r="I150">
        <v>2537520</v>
      </c>
      <c r="K150" t="str" cm="1">
        <f t="array" ref="K150">_xlfn.IFS(Table1[[#This Row],[IMDB_Rating]]&gt;=9,"Masterpiece",Table1[[#This Row],[IMDB_Rating]]&gt;=8,"Excellent",Table1[[#This Row],[IMDB_Rating]]&gt;=7,"Good",Table1[[#This Row],[IMDB_Rating]]&lt;7,"Average")</f>
        <v>Good</v>
      </c>
    </row>
    <row r="151" spans="1:11" x14ac:dyDescent="0.35">
      <c r="A151" t="s">
        <v>804</v>
      </c>
      <c r="B151">
        <v>2013</v>
      </c>
      <c r="C151">
        <v>96</v>
      </c>
      <c r="D151" t="s">
        <v>11</v>
      </c>
      <c r="E151">
        <v>8</v>
      </c>
      <c r="F151" t="s">
        <v>805</v>
      </c>
      <c r="G151" t="s">
        <v>509</v>
      </c>
      <c r="H151">
        <v>81770</v>
      </c>
      <c r="I151">
        <v>1010414</v>
      </c>
      <c r="J151">
        <v>82</v>
      </c>
      <c r="K151" t="str" cm="1">
        <f t="array" ref="K1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52" spans="1:11" x14ac:dyDescent="0.35">
      <c r="A152" t="s">
        <v>1262</v>
      </c>
      <c r="B152">
        <v>1968</v>
      </c>
      <c r="C152">
        <v>96</v>
      </c>
      <c r="D152" t="s">
        <v>145</v>
      </c>
      <c r="E152">
        <v>7.9</v>
      </c>
      <c r="F152" t="s">
        <v>1245</v>
      </c>
      <c r="G152" t="s">
        <v>1263</v>
      </c>
      <c r="H152">
        <v>116557</v>
      </c>
      <c r="I152">
        <v>89029</v>
      </c>
      <c r="J152">
        <v>89</v>
      </c>
      <c r="K152" t="str" cm="1">
        <f t="array" ref="K152">_xlfn.IFS(Table1[[#This Row],[IMDB_Rating]]&gt;=9,"Masterpiece",Table1[[#This Row],[IMDB_Rating]]&gt;=8,"Excellent",Table1[[#This Row],[IMDB_Rating]]&gt;=7,"Good",Table1[[#This Row],[IMDB_Rating]]&lt;7,"Average")</f>
        <v>Good</v>
      </c>
    </row>
    <row r="153" spans="1:11" x14ac:dyDescent="0.35">
      <c r="A153" t="s">
        <v>2187</v>
      </c>
      <c r="B153">
        <v>1944</v>
      </c>
      <c r="C153">
        <v>97</v>
      </c>
      <c r="D153" t="s">
        <v>11</v>
      </c>
      <c r="E153">
        <v>7.6</v>
      </c>
      <c r="F153" t="s">
        <v>146</v>
      </c>
      <c r="G153" t="s">
        <v>2188</v>
      </c>
      <c r="H153">
        <v>26471</v>
      </c>
      <c r="I153">
        <v>852142728</v>
      </c>
      <c r="J153">
        <v>78</v>
      </c>
      <c r="K153" t="str" cm="1">
        <f t="array" ref="K153">_xlfn.IFS(Table1[[#This Row],[IMDB_Rating]]&gt;=9,"Masterpiece",Table1[[#This Row],[IMDB_Rating]]&gt;=8,"Excellent",Table1[[#This Row],[IMDB_Rating]]&gt;=7,"Good",Table1[[#This Row],[IMDB_Rating]]&lt;7,"Average")</f>
        <v>Good</v>
      </c>
    </row>
    <row r="154" spans="1:11" x14ac:dyDescent="0.35">
      <c r="A154" t="s">
        <v>1060</v>
      </c>
      <c r="B154">
        <v>1947</v>
      </c>
      <c r="C154">
        <v>97</v>
      </c>
      <c r="D154" t="s">
        <v>15</v>
      </c>
      <c r="E154">
        <v>8</v>
      </c>
      <c r="F154" t="s">
        <v>1061</v>
      </c>
      <c r="G154" t="s">
        <v>1046</v>
      </c>
      <c r="H154">
        <v>32784</v>
      </c>
      <c r="I154">
        <v>790482117</v>
      </c>
      <c r="K154" t="str" cm="1">
        <f t="array" ref="K154">_xlfn.IFS(Table1[[#This Row],[IMDB_Rating]]&gt;=9,"Masterpiece",Table1[[#This Row],[IMDB_Rating]]&gt;=8,"Excellent",Table1[[#This Row],[IMDB_Rating]]&gt;=7,"Good",Table1[[#This Row],[IMDB_Rating]]&lt;7,"Average")</f>
        <v>Excellent</v>
      </c>
    </row>
    <row r="155" spans="1:11" x14ac:dyDescent="0.35">
      <c r="A155" t="s">
        <v>1557</v>
      </c>
      <c r="B155">
        <v>1985</v>
      </c>
      <c r="C155">
        <v>97</v>
      </c>
      <c r="D155" t="s">
        <v>67</v>
      </c>
      <c r="E155">
        <v>7.8</v>
      </c>
      <c r="F155" t="s">
        <v>1549</v>
      </c>
      <c r="G155" t="s">
        <v>1558</v>
      </c>
      <c r="H155">
        <v>357026</v>
      </c>
      <c r="I155">
        <v>45875171</v>
      </c>
      <c r="J155">
        <v>66</v>
      </c>
      <c r="K155" t="str" cm="1">
        <f t="array" ref="K155">_xlfn.IFS(Table1[[#This Row],[IMDB_Rating]]&gt;=9,"Masterpiece",Table1[[#This Row],[IMDB_Rating]]&gt;=8,"Excellent",Table1[[#This Row],[IMDB_Rating]]&gt;=7,"Good",Table1[[#This Row],[IMDB_Rating]]&lt;7,"Average")</f>
        <v>Good</v>
      </c>
    </row>
    <row r="156" spans="1:11" x14ac:dyDescent="0.35">
      <c r="A156" t="s">
        <v>1970</v>
      </c>
      <c r="B156">
        <v>2019</v>
      </c>
      <c r="C156">
        <v>97</v>
      </c>
      <c r="D156" t="s">
        <v>74</v>
      </c>
      <c r="E156">
        <v>7.6</v>
      </c>
      <c r="F156" t="s">
        <v>1971</v>
      </c>
      <c r="G156" t="s">
        <v>1972</v>
      </c>
      <c r="H156">
        <v>66346</v>
      </c>
      <c r="I156">
        <v>13122642</v>
      </c>
      <c r="J156">
        <v>70</v>
      </c>
      <c r="K156" t="str" cm="1">
        <f t="array" ref="K156">_xlfn.IFS(Table1[[#This Row],[IMDB_Rating]]&gt;=9,"Masterpiece",Table1[[#This Row],[IMDB_Rating]]&gt;=8,"Excellent",Table1[[#This Row],[IMDB_Rating]]&gt;=7,"Good",Table1[[#This Row],[IMDB_Rating]]&lt;7,"Average")</f>
        <v>Good</v>
      </c>
    </row>
    <row r="157" spans="1:11" x14ac:dyDescent="0.35">
      <c r="A157" t="s">
        <v>1873</v>
      </c>
      <c r="B157">
        <v>1985</v>
      </c>
      <c r="C157">
        <v>97</v>
      </c>
      <c r="D157" t="s">
        <v>67</v>
      </c>
      <c r="E157">
        <v>7.7</v>
      </c>
      <c r="F157" t="s">
        <v>55</v>
      </c>
      <c r="G157" t="s">
        <v>1874</v>
      </c>
      <c r="H157">
        <v>59635</v>
      </c>
      <c r="I157">
        <v>10600000</v>
      </c>
      <c r="J157">
        <v>90</v>
      </c>
      <c r="K157" t="str" cm="1">
        <f t="array" ref="K157">_xlfn.IFS(Table1[[#This Row],[IMDB_Rating]]&gt;=9,"Masterpiece",Table1[[#This Row],[IMDB_Rating]]&gt;=8,"Excellent",Table1[[#This Row],[IMDB_Rating]]&gt;=7,"Good",Table1[[#This Row],[IMDB_Rating]]&lt;7,"Average")</f>
        <v>Good</v>
      </c>
    </row>
    <row r="158" spans="1:11" x14ac:dyDescent="0.35">
      <c r="A158" t="s">
        <v>1828</v>
      </c>
      <c r="B158">
        <v>1995</v>
      </c>
      <c r="C158">
        <v>97</v>
      </c>
      <c r="D158" t="s">
        <v>11</v>
      </c>
      <c r="E158">
        <v>7.7</v>
      </c>
      <c r="F158" t="s">
        <v>1184</v>
      </c>
      <c r="G158" t="s">
        <v>1829</v>
      </c>
      <c r="H158">
        <v>32236</v>
      </c>
      <c r="I158">
        <v>10019307</v>
      </c>
      <c r="J158">
        <v>83</v>
      </c>
      <c r="K158" t="str" cm="1">
        <f t="array" ref="K158">_xlfn.IFS(Table1[[#This Row],[IMDB_Rating]]&gt;=9,"Masterpiece",Table1[[#This Row],[IMDB_Rating]]&gt;=8,"Excellent",Table1[[#This Row],[IMDB_Rating]]&gt;=7,"Good",Table1[[#This Row],[IMDB_Rating]]&lt;7,"Average")</f>
        <v>Good</v>
      </c>
    </row>
    <row r="159" spans="1:11" x14ac:dyDescent="0.35">
      <c r="A159" t="s">
        <v>1134</v>
      </c>
      <c r="B159">
        <v>2009</v>
      </c>
      <c r="C159">
        <v>97</v>
      </c>
      <c r="D159" t="s">
        <v>11</v>
      </c>
      <c r="E159">
        <v>7.9</v>
      </c>
      <c r="F159" t="s">
        <v>1135</v>
      </c>
      <c r="G159" t="s">
        <v>1136</v>
      </c>
      <c r="H159">
        <v>335152</v>
      </c>
      <c r="I159">
        <v>5009677</v>
      </c>
      <c r="J159">
        <v>67</v>
      </c>
      <c r="K159" t="str" cm="1">
        <f t="array" ref="K159">_xlfn.IFS(Table1[[#This Row],[IMDB_Rating]]&gt;=9,"Masterpiece",Table1[[#This Row],[IMDB_Rating]]&gt;=8,"Excellent",Table1[[#This Row],[IMDB_Rating]]&gt;=7,"Good",Table1[[#This Row],[IMDB_Rating]]&lt;7,"Average")</f>
        <v>Good</v>
      </c>
    </row>
    <row r="160" spans="1:11" x14ac:dyDescent="0.35">
      <c r="A160" t="s">
        <v>1171</v>
      </c>
      <c r="B160">
        <v>2004</v>
      </c>
      <c r="C160">
        <v>97</v>
      </c>
      <c r="D160" t="s">
        <v>11</v>
      </c>
      <c r="E160">
        <v>7.9</v>
      </c>
      <c r="F160" t="s">
        <v>1172</v>
      </c>
      <c r="G160" t="s">
        <v>1173</v>
      </c>
      <c r="H160">
        <v>57430</v>
      </c>
      <c r="I160">
        <v>3635164</v>
      </c>
      <c r="J160">
        <v>56</v>
      </c>
      <c r="K160" t="str" cm="1">
        <f t="array" ref="K160">_xlfn.IFS(Table1[[#This Row],[IMDB_Rating]]&gt;=9,"Masterpiece",Table1[[#This Row],[IMDB_Rating]]&gt;=8,"Excellent",Table1[[#This Row],[IMDB_Rating]]&gt;=7,"Good",Table1[[#This Row],[IMDB_Rating]]&lt;7,"Average")</f>
        <v>Good</v>
      </c>
    </row>
    <row r="161" spans="1:11" x14ac:dyDescent="0.35">
      <c r="A161" t="s">
        <v>1976</v>
      </c>
      <c r="B161">
        <v>2015</v>
      </c>
      <c r="C161">
        <v>97</v>
      </c>
      <c r="D161" t="s">
        <v>11</v>
      </c>
      <c r="E161">
        <v>7.6</v>
      </c>
      <c r="F161" t="s">
        <v>1977</v>
      </c>
      <c r="G161" t="s">
        <v>1978</v>
      </c>
      <c r="H161">
        <v>35785</v>
      </c>
      <c r="I161">
        <v>845464</v>
      </c>
      <c r="J161">
        <v>83</v>
      </c>
      <c r="K161" t="str" cm="1">
        <f t="array" ref="K161">_xlfn.IFS(Table1[[#This Row],[IMDB_Rating]]&gt;=9,"Masterpiece",Table1[[#This Row],[IMDB_Rating]]&gt;=8,"Excellent",Table1[[#This Row],[IMDB_Rating]]&gt;=7,"Good",Table1[[#This Row],[IMDB_Rating]]&lt;7,"Average")</f>
        <v>Good</v>
      </c>
    </row>
    <row r="162" spans="1:11" x14ac:dyDescent="0.35">
      <c r="A162" t="s">
        <v>1723</v>
      </c>
      <c r="B162">
        <v>2006</v>
      </c>
      <c r="C162">
        <v>98</v>
      </c>
      <c r="D162" t="s">
        <v>80</v>
      </c>
      <c r="E162">
        <v>7.7</v>
      </c>
      <c r="F162" t="s">
        <v>528</v>
      </c>
      <c r="G162" t="s">
        <v>1724</v>
      </c>
      <c r="H162">
        <v>60368</v>
      </c>
      <c r="I162">
        <v>329525432</v>
      </c>
      <c r="K162" t="str" cm="1">
        <f t="array" ref="K162">_xlfn.IFS(Table1[[#This Row],[IMDB_Rating]]&gt;=9,"Masterpiece",Table1[[#This Row],[IMDB_Rating]]&gt;=8,"Excellent",Table1[[#This Row],[IMDB_Rating]]&gt;=7,"Good",Table1[[#This Row],[IMDB_Rating]]&lt;7,"Average")</f>
        <v>Good</v>
      </c>
    </row>
    <row r="163" spans="1:11" x14ac:dyDescent="0.35">
      <c r="A163" t="s">
        <v>186</v>
      </c>
      <c r="B163">
        <v>2008</v>
      </c>
      <c r="C163">
        <v>98</v>
      </c>
      <c r="D163" t="s">
        <v>80</v>
      </c>
      <c r="E163">
        <v>8.4</v>
      </c>
      <c r="F163" t="s">
        <v>187</v>
      </c>
      <c r="G163" t="s">
        <v>188</v>
      </c>
      <c r="H163">
        <v>999790</v>
      </c>
      <c r="I163">
        <v>223808164</v>
      </c>
      <c r="J163">
        <v>95</v>
      </c>
      <c r="K163" t="str" cm="1">
        <f t="array" ref="K163">_xlfn.IFS(Table1[[#This Row],[IMDB_Rating]]&gt;=9,"Masterpiece",Table1[[#This Row],[IMDB_Rating]]&gt;=8,"Excellent",Table1[[#This Row],[IMDB_Rating]]&gt;=7,"Good",Table1[[#This Row],[IMDB_Rating]]&lt;7,"Average")</f>
        <v>Excellent</v>
      </c>
    </row>
    <row r="164" spans="1:11" x14ac:dyDescent="0.35">
      <c r="A164" t="s">
        <v>574</v>
      </c>
      <c r="B164">
        <v>2010</v>
      </c>
      <c r="C164">
        <v>98</v>
      </c>
      <c r="D164" t="s">
        <v>80</v>
      </c>
      <c r="E164">
        <v>8.1</v>
      </c>
      <c r="F164" t="s">
        <v>575</v>
      </c>
      <c r="G164" t="s">
        <v>576</v>
      </c>
      <c r="H164">
        <v>666773</v>
      </c>
      <c r="I164">
        <v>217581231</v>
      </c>
      <c r="J164">
        <v>75</v>
      </c>
      <c r="K164" t="str" cm="1">
        <f t="array" ref="K164">_xlfn.IFS(Table1[[#This Row],[IMDB_Rating]]&gt;=9,"Masterpiece",Table1[[#This Row],[IMDB_Rating]]&gt;=8,"Excellent",Table1[[#This Row],[IMDB_Rating]]&gt;=7,"Good",Table1[[#This Row],[IMDB_Rating]]&lt;7,"Average")</f>
        <v>Excellent</v>
      </c>
    </row>
    <row r="165" spans="1:11" x14ac:dyDescent="0.35">
      <c r="A165" t="s">
        <v>1996</v>
      </c>
      <c r="B165">
        <v>2013</v>
      </c>
      <c r="C165">
        <v>98</v>
      </c>
      <c r="D165" t="s">
        <v>34</v>
      </c>
      <c r="E165">
        <v>7.6</v>
      </c>
      <c r="F165" t="s">
        <v>1997</v>
      </c>
      <c r="G165" t="s">
        <v>1998</v>
      </c>
      <c r="H165">
        <v>94212</v>
      </c>
      <c r="I165">
        <v>37707719</v>
      </c>
      <c r="J165">
        <v>77</v>
      </c>
      <c r="K165" t="str" cm="1">
        <f t="array" ref="K165">_xlfn.IFS(Table1[[#This Row],[IMDB_Rating]]&gt;=9,"Masterpiece",Table1[[#This Row],[IMDB_Rating]]&gt;=8,"Excellent",Table1[[#This Row],[IMDB_Rating]]&gt;=7,"Good",Table1[[#This Row],[IMDB_Rating]]&lt;7,"Average")</f>
        <v>Good</v>
      </c>
    </row>
    <row r="166" spans="1:11" x14ac:dyDescent="0.35">
      <c r="A166" t="s">
        <v>973</v>
      </c>
      <c r="B166">
        <v>1987</v>
      </c>
      <c r="C166">
        <v>98</v>
      </c>
      <c r="D166" t="s">
        <v>74</v>
      </c>
      <c r="E166">
        <v>8</v>
      </c>
      <c r="F166" t="s">
        <v>653</v>
      </c>
      <c r="G166" t="s">
        <v>974</v>
      </c>
      <c r="H166">
        <v>393899</v>
      </c>
      <c r="I166">
        <v>30857814</v>
      </c>
      <c r="J166">
        <v>77</v>
      </c>
      <c r="K166" t="str" cm="1">
        <f t="array" ref="K16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67" spans="1:11" x14ac:dyDescent="0.35">
      <c r="A167" t="s">
        <v>627</v>
      </c>
      <c r="B167">
        <v>1996</v>
      </c>
      <c r="C167">
        <v>98</v>
      </c>
      <c r="D167" t="s">
        <v>15</v>
      </c>
      <c r="E167">
        <v>8.1</v>
      </c>
      <c r="F167" t="s">
        <v>582</v>
      </c>
      <c r="G167" t="s">
        <v>581</v>
      </c>
      <c r="H167">
        <v>617444</v>
      </c>
      <c r="I167">
        <v>24611975</v>
      </c>
      <c r="J167">
        <v>85</v>
      </c>
      <c r="K167" t="str" cm="1">
        <f t="array" ref="K167">_xlfn.IFS(Table1[[#This Row],[IMDB_Rating]]&gt;=9,"Masterpiece",Table1[[#This Row],[IMDB_Rating]]&gt;=8,"Excellent",Table1[[#This Row],[IMDB_Rating]]&gt;=7,"Good",Table1[[#This Row],[IMDB_Rating]]&lt;7,"Average")</f>
        <v>Excellent</v>
      </c>
    </row>
    <row r="168" spans="1:11" x14ac:dyDescent="0.35">
      <c r="A168" t="s">
        <v>621</v>
      </c>
      <c r="B168">
        <v>2000</v>
      </c>
      <c r="C168">
        <v>98</v>
      </c>
      <c r="D168" t="s">
        <v>11</v>
      </c>
      <c r="E168">
        <v>8.1</v>
      </c>
      <c r="F168" t="s">
        <v>622</v>
      </c>
      <c r="G168" t="s">
        <v>623</v>
      </c>
      <c r="H168">
        <v>124383</v>
      </c>
      <c r="I168">
        <v>2734044</v>
      </c>
      <c r="J168">
        <v>85</v>
      </c>
      <c r="K168" t="str" cm="1">
        <f t="array" ref="K168">_xlfn.IFS(Table1[[#This Row],[IMDB_Rating]]&gt;=9,"Masterpiece",Table1[[#This Row],[IMDB_Rating]]&gt;=8,"Excellent",Table1[[#This Row],[IMDB_Rating]]&gt;=7,"Good",Table1[[#This Row],[IMDB_Rating]]&lt;7,"Average")</f>
        <v>Excellent</v>
      </c>
    </row>
    <row r="169" spans="1:11" x14ac:dyDescent="0.35">
      <c r="A169" t="s">
        <v>1528</v>
      </c>
      <c r="B169">
        <v>1991</v>
      </c>
      <c r="C169">
        <v>98</v>
      </c>
      <c r="D169" t="s">
        <v>11</v>
      </c>
      <c r="E169">
        <v>7.8</v>
      </c>
      <c r="F169" t="s">
        <v>637</v>
      </c>
      <c r="G169" t="s">
        <v>638</v>
      </c>
      <c r="H169">
        <v>42376</v>
      </c>
      <c r="I169">
        <v>1999955</v>
      </c>
      <c r="J169">
        <v>86</v>
      </c>
      <c r="K169" t="str" cm="1">
        <f t="array" ref="K169">_xlfn.IFS(Table1[[#This Row],[IMDB_Rating]]&gt;=9,"Masterpiece",Table1[[#This Row],[IMDB_Rating]]&gt;=8,"Excellent",Table1[[#This Row],[IMDB_Rating]]&gt;=7,"Good",Table1[[#This Row],[IMDB_Rating]]&lt;7,"Average")</f>
        <v>Good</v>
      </c>
    </row>
    <row r="170" spans="1:11" x14ac:dyDescent="0.35">
      <c r="A170" t="s">
        <v>1190</v>
      </c>
      <c r="B170">
        <v>2001</v>
      </c>
      <c r="C170">
        <v>98</v>
      </c>
      <c r="D170" t="s">
        <v>67</v>
      </c>
      <c r="E170">
        <v>7.9</v>
      </c>
      <c r="F170" t="s">
        <v>1191</v>
      </c>
      <c r="G170" t="s">
        <v>1192</v>
      </c>
      <c r="H170">
        <v>44618</v>
      </c>
      <c r="I170">
        <v>1059830</v>
      </c>
      <c r="J170">
        <v>84</v>
      </c>
      <c r="K170" t="str" cm="1">
        <f t="array" ref="K170">_xlfn.IFS(Table1[[#This Row],[IMDB_Rating]]&gt;=9,"Masterpiece",Table1[[#This Row],[IMDB_Rating]]&gt;=8,"Excellent",Table1[[#This Row],[IMDB_Rating]]&gt;=7,"Good",Table1[[#This Row],[IMDB_Rating]]&lt;7,"Average")</f>
        <v>Good</v>
      </c>
    </row>
    <row r="171" spans="1:11" x14ac:dyDescent="0.35">
      <c r="A171" t="s">
        <v>630</v>
      </c>
      <c r="B171">
        <v>1995</v>
      </c>
      <c r="C171">
        <v>98</v>
      </c>
      <c r="D171" t="s">
        <v>15</v>
      </c>
      <c r="E171">
        <v>8.1</v>
      </c>
      <c r="F171" t="s">
        <v>631</v>
      </c>
      <c r="G171" t="s">
        <v>632</v>
      </c>
      <c r="H171">
        <v>150345</v>
      </c>
      <c r="I171">
        <v>309811</v>
      </c>
      <c r="K171" t="str" cm="1">
        <f t="array" ref="K1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72" spans="1:11" x14ac:dyDescent="0.35">
      <c r="A172" t="s">
        <v>1687</v>
      </c>
      <c r="B172">
        <v>2011</v>
      </c>
      <c r="C172">
        <v>98</v>
      </c>
      <c r="D172" t="s">
        <v>11</v>
      </c>
      <c r="E172">
        <v>7.7</v>
      </c>
      <c r="F172" t="s">
        <v>121</v>
      </c>
      <c r="G172" t="s">
        <v>116</v>
      </c>
      <c r="H172">
        <v>77071</v>
      </c>
      <c r="I172">
        <v>71177</v>
      </c>
      <c r="J172">
        <v>52</v>
      </c>
      <c r="K172" t="str" cm="1">
        <f t="array" ref="K172">_xlfn.IFS(Table1[[#This Row],[IMDB_Rating]]&gt;=9,"Masterpiece",Table1[[#This Row],[IMDB_Rating]]&gt;=8,"Excellent",Table1[[#This Row],[IMDB_Rating]]&gt;=7,"Good",Table1[[#This Row],[IMDB_Rating]]&lt;7,"Average")</f>
        <v>Good</v>
      </c>
    </row>
    <row r="173" spans="1:11" x14ac:dyDescent="0.35">
      <c r="A173" t="s">
        <v>722</v>
      </c>
      <c r="B173">
        <v>1959</v>
      </c>
      <c r="C173">
        <v>99</v>
      </c>
      <c r="D173" t="s">
        <v>15</v>
      </c>
      <c r="E173">
        <v>8.1</v>
      </c>
      <c r="F173" t="s">
        <v>723</v>
      </c>
      <c r="G173" t="s">
        <v>724</v>
      </c>
      <c r="H173">
        <v>105291</v>
      </c>
      <c r="I173">
        <v>263473309</v>
      </c>
      <c r="K173" t="str" cm="1">
        <f t="array" ref="K1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174" spans="1:11" x14ac:dyDescent="0.35">
      <c r="A174" t="s">
        <v>436</v>
      </c>
      <c r="B174">
        <v>1978</v>
      </c>
      <c r="C174">
        <v>99</v>
      </c>
      <c r="D174" t="s">
        <v>11</v>
      </c>
      <c r="E174">
        <v>8.1999999999999993</v>
      </c>
      <c r="F174" t="s">
        <v>437</v>
      </c>
      <c r="G174" t="s">
        <v>438</v>
      </c>
      <c r="H174">
        <v>26875</v>
      </c>
      <c r="I174">
        <v>231949286</v>
      </c>
      <c r="K174" t="str" cm="1">
        <f t="array" ref="K174">_xlfn.IFS(Table1[[#This Row],[IMDB_Rating]]&gt;=9,"Masterpiece",Table1[[#This Row],[IMDB_Rating]]&gt;=8,"Excellent",Table1[[#This Row],[IMDB_Rating]]&gt;=7,"Good",Table1[[#This Row],[IMDB_Rating]]&lt;7,"Average")</f>
        <v>Excellent</v>
      </c>
    </row>
    <row r="175" spans="1:11" x14ac:dyDescent="0.35">
      <c r="A175" t="s">
        <v>1830</v>
      </c>
      <c r="B175">
        <v>1995</v>
      </c>
      <c r="C175">
        <v>99</v>
      </c>
      <c r="D175" t="s">
        <v>67</v>
      </c>
      <c r="E175">
        <v>7.7</v>
      </c>
      <c r="F175" t="s">
        <v>622</v>
      </c>
      <c r="G175" t="s">
        <v>1831</v>
      </c>
      <c r="H175">
        <v>26429</v>
      </c>
      <c r="I175">
        <v>182928453</v>
      </c>
      <c r="J175">
        <v>71</v>
      </c>
      <c r="K175" t="str" cm="1">
        <f t="array" ref="K175">_xlfn.IFS(Table1[[#This Row],[IMDB_Rating]]&gt;=9,"Masterpiece",Table1[[#This Row],[IMDB_Rating]]&gt;=8,"Excellent",Table1[[#This Row],[IMDB_Rating]]&gt;=7,"Good",Table1[[#This Row],[IMDB_Rating]]&lt;7,"Average")</f>
        <v>Good</v>
      </c>
    </row>
    <row r="176" spans="1:11" x14ac:dyDescent="0.35">
      <c r="A176" t="s">
        <v>522</v>
      </c>
      <c r="B176">
        <v>2014</v>
      </c>
      <c r="C176">
        <v>99</v>
      </c>
      <c r="D176" t="s">
        <v>74</v>
      </c>
      <c r="E176">
        <v>8.1</v>
      </c>
      <c r="F176" t="s">
        <v>523</v>
      </c>
      <c r="G176" t="s">
        <v>524</v>
      </c>
      <c r="H176">
        <v>707630</v>
      </c>
      <c r="I176">
        <v>59100318</v>
      </c>
      <c r="J176">
        <v>88</v>
      </c>
      <c r="K176" t="str" cm="1">
        <f t="array" ref="K17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77" spans="1:11" x14ac:dyDescent="0.35">
      <c r="A177" t="s">
        <v>1757</v>
      </c>
      <c r="B177">
        <v>2004</v>
      </c>
      <c r="C177">
        <v>99</v>
      </c>
      <c r="D177" t="s">
        <v>19</v>
      </c>
      <c r="E177">
        <v>7.7</v>
      </c>
      <c r="F177" t="s">
        <v>1758</v>
      </c>
      <c r="G177" t="s">
        <v>1758</v>
      </c>
      <c r="H177">
        <v>127250</v>
      </c>
      <c r="I177">
        <v>17108591</v>
      </c>
      <c r="J177">
        <v>78</v>
      </c>
      <c r="K177" t="str" cm="1">
        <f t="array" ref="K177">_xlfn.IFS(Table1[[#This Row],[IMDB_Rating]]&gt;=9,"Masterpiece",Table1[[#This Row],[IMDB_Rating]]&gt;=8,"Excellent",Table1[[#This Row],[IMDB_Rating]]&gt;=7,"Good",Table1[[#This Row],[IMDB_Rating]]&lt;7,"Average")</f>
        <v>Good</v>
      </c>
    </row>
    <row r="178" spans="1:11" x14ac:dyDescent="0.35">
      <c r="A178" t="s">
        <v>1022</v>
      </c>
      <c r="B178">
        <v>1964</v>
      </c>
      <c r="C178">
        <v>99</v>
      </c>
      <c r="D178" t="s">
        <v>19</v>
      </c>
      <c r="E178">
        <v>8</v>
      </c>
      <c r="F178" t="s">
        <v>48</v>
      </c>
      <c r="G178" t="s">
        <v>49</v>
      </c>
      <c r="H178">
        <v>198219</v>
      </c>
      <c r="I178">
        <v>14500000</v>
      </c>
      <c r="J178">
        <v>65</v>
      </c>
      <c r="K178" t="str" cm="1">
        <f t="array" ref="K178">_xlfn.IFS(Table1[[#This Row],[IMDB_Rating]]&gt;=9,"Masterpiece",Table1[[#This Row],[IMDB_Rating]]&gt;=8,"Excellent",Table1[[#This Row],[IMDB_Rating]]&gt;=7,"Good",Table1[[#This Row],[IMDB_Rating]]&lt;7,"Average")</f>
        <v>Excellent</v>
      </c>
    </row>
    <row r="179" spans="1:11" x14ac:dyDescent="0.35">
      <c r="A179" t="s">
        <v>1176</v>
      </c>
      <c r="B179">
        <v>2004</v>
      </c>
      <c r="C179">
        <v>99</v>
      </c>
      <c r="D179" t="s">
        <v>67</v>
      </c>
      <c r="E179">
        <v>7.9</v>
      </c>
      <c r="F179" t="s">
        <v>1177</v>
      </c>
      <c r="G179" t="s">
        <v>1178</v>
      </c>
      <c r="H179">
        <v>512249</v>
      </c>
      <c r="I179">
        <v>13542874</v>
      </c>
      <c r="J179">
        <v>76</v>
      </c>
      <c r="K179" t="str" cm="1">
        <f t="array" ref="K179">_xlfn.IFS(Table1[[#This Row],[IMDB_Rating]]&gt;=9,"Masterpiece",Table1[[#This Row],[IMDB_Rating]]&gt;=8,"Excellent",Table1[[#This Row],[IMDB_Rating]]&gt;=7,"Good",Table1[[#This Row],[IMDB_Rating]]&lt;7,"Average")</f>
        <v>Good</v>
      </c>
    </row>
    <row r="180" spans="1:11" x14ac:dyDescent="0.35">
      <c r="A180" t="s">
        <v>478</v>
      </c>
      <c r="B180">
        <v>1942</v>
      </c>
      <c r="C180">
        <v>99</v>
      </c>
      <c r="D180" t="s">
        <v>67</v>
      </c>
      <c r="E180">
        <v>8.1999999999999993</v>
      </c>
      <c r="F180" t="s">
        <v>479</v>
      </c>
      <c r="G180" t="s">
        <v>480</v>
      </c>
      <c r="H180">
        <v>29915</v>
      </c>
      <c r="I180">
        <v>11914855</v>
      </c>
      <c r="J180">
        <v>86</v>
      </c>
      <c r="K180" t="str" cm="1">
        <f t="array" ref="K180">_xlfn.IFS(Table1[[#This Row],[IMDB_Rating]]&gt;=9,"Masterpiece",Table1[[#This Row],[IMDB_Rating]]&gt;=8,"Excellent",Table1[[#This Row],[IMDB_Rating]]&gt;=7,"Good",Table1[[#This Row],[IMDB_Rating]]&lt;7,"Average")</f>
        <v>Excellent</v>
      </c>
    </row>
    <row r="181" spans="1:11" x14ac:dyDescent="0.35">
      <c r="A181" t="s">
        <v>636</v>
      </c>
      <c r="B181">
        <v>1994</v>
      </c>
      <c r="C181">
        <v>99</v>
      </c>
      <c r="D181" t="s">
        <v>11</v>
      </c>
      <c r="E181">
        <v>8.1</v>
      </c>
      <c r="F181" t="s">
        <v>637</v>
      </c>
      <c r="G181" t="s">
        <v>638</v>
      </c>
      <c r="H181">
        <v>90729</v>
      </c>
      <c r="I181">
        <v>4043686</v>
      </c>
      <c r="J181">
        <v>100</v>
      </c>
      <c r="K181" t="str" cm="1">
        <f t="array" ref="K18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82" spans="1:11" x14ac:dyDescent="0.35">
      <c r="A182" t="s">
        <v>1480</v>
      </c>
      <c r="B182">
        <v>2001</v>
      </c>
      <c r="C182">
        <v>99</v>
      </c>
      <c r="D182" t="s">
        <v>80</v>
      </c>
      <c r="E182">
        <v>7.8</v>
      </c>
      <c r="F182" t="s">
        <v>594</v>
      </c>
      <c r="G182" t="s">
        <v>595</v>
      </c>
      <c r="H182">
        <v>60684</v>
      </c>
      <c r="I182">
        <v>2892011</v>
      </c>
      <c r="J182">
        <v>83</v>
      </c>
      <c r="K182" t="str" cm="1">
        <f t="array" ref="K182">_xlfn.IFS(Table1[[#This Row],[IMDB_Rating]]&gt;=9,"Masterpiece",Table1[[#This Row],[IMDB_Rating]]&gt;=8,"Excellent",Table1[[#This Row],[IMDB_Rating]]&gt;=7,"Good",Table1[[#This Row],[IMDB_Rating]]&lt;7,"Average")</f>
        <v>Good</v>
      </c>
    </row>
    <row r="183" spans="1:11" x14ac:dyDescent="0.35">
      <c r="A183" t="s">
        <v>274</v>
      </c>
      <c r="B183">
        <v>1992</v>
      </c>
      <c r="C183">
        <v>99</v>
      </c>
      <c r="D183" t="s">
        <v>15</v>
      </c>
      <c r="E183">
        <v>8.3000000000000007</v>
      </c>
      <c r="F183" t="s">
        <v>31</v>
      </c>
      <c r="G183" t="s">
        <v>275</v>
      </c>
      <c r="H183">
        <v>918562</v>
      </c>
      <c r="I183">
        <v>2832029</v>
      </c>
      <c r="J183">
        <v>79</v>
      </c>
      <c r="K183" t="str" cm="1">
        <f t="array" ref="K183">_xlfn.IFS(Table1[[#This Row],[IMDB_Rating]]&gt;=9,"Masterpiece",Table1[[#This Row],[IMDB_Rating]]&gt;=8,"Excellent",Table1[[#This Row],[IMDB_Rating]]&gt;=7,"Good",Table1[[#This Row],[IMDB_Rating]]&lt;7,"Average")</f>
        <v>Excellent</v>
      </c>
    </row>
    <row r="184" spans="1:11" x14ac:dyDescent="0.35">
      <c r="A184" t="s">
        <v>2151</v>
      </c>
      <c r="B184">
        <v>1984</v>
      </c>
      <c r="C184">
        <v>99</v>
      </c>
      <c r="D184" t="s">
        <v>15</v>
      </c>
      <c r="E184">
        <v>7.6</v>
      </c>
      <c r="F184" t="s">
        <v>582</v>
      </c>
      <c r="G184" t="s">
        <v>581</v>
      </c>
      <c r="H184">
        <v>87745</v>
      </c>
      <c r="I184">
        <v>2150000</v>
      </c>
      <c r="J184">
        <v>82</v>
      </c>
      <c r="K184" t="str" cm="1">
        <f t="array" ref="K184">_xlfn.IFS(Table1[[#This Row],[IMDB_Rating]]&gt;=9,"Masterpiece",Table1[[#This Row],[IMDB_Rating]]&gt;=8,"Excellent",Table1[[#This Row],[IMDB_Rating]]&gt;=7,"Good",Table1[[#This Row],[IMDB_Rating]]&lt;7,"Average")</f>
        <v>Good</v>
      </c>
    </row>
    <row r="185" spans="1:11" x14ac:dyDescent="0.35">
      <c r="A185" t="s">
        <v>2138</v>
      </c>
      <c r="B185">
        <v>1991</v>
      </c>
      <c r="C185">
        <v>99</v>
      </c>
      <c r="D185" t="s">
        <v>67</v>
      </c>
      <c r="E185">
        <v>7.6</v>
      </c>
      <c r="F185" t="s">
        <v>2139</v>
      </c>
      <c r="G185" t="s">
        <v>255</v>
      </c>
      <c r="H185">
        <v>80487</v>
      </c>
      <c r="I185">
        <v>1794187</v>
      </c>
      <c r="J185">
        <v>66</v>
      </c>
      <c r="K185" t="str" cm="1">
        <f t="array" ref="K185">_xlfn.IFS(Table1[[#This Row],[IMDB_Rating]]&gt;=9,"Masterpiece",Table1[[#This Row],[IMDB_Rating]]&gt;=8,"Excellent",Table1[[#This Row],[IMDB_Rating]]&gt;=7,"Good",Table1[[#This Row],[IMDB_Rating]]&lt;7,"Average")</f>
        <v>Good</v>
      </c>
    </row>
    <row r="186" spans="1:11" x14ac:dyDescent="0.35">
      <c r="A186" t="s">
        <v>749</v>
      </c>
      <c r="B186">
        <v>1940</v>
      </c>
      <c r="C186">
        <v>99</v>
      </c>
      <c r="D186" t="s">
        <v>67</v>
      </c>
      <c r="E186">
        <v>8.1</v>
      </c>
      <c r="F186" t="s">
        <v>479</v>
      </c>
      <c r="G186" t="s">
        <v>750</v>
      </c>
      <c r="H186">
        <v>28450</v>
      </c>
      <c r="I186">
        <v>203300</v>
      </c>
      <c r="J186">
        <v>96</v>
      </c>
      <c r="K186" t="str" cm="1">
        <f t="array" ref="K186">_xlfn.IFS(Table1[[#This Row],[IMDB_Rating]]&gt;=9,"Masterpiece",Table1[[#This Row],[IMDB_Rating]]&gt;=8,"Excellent",Table1[[#This Row],[IMDB_Rating]]&gt;=7,"Good",Table1[[#This Row],[IMDB_Rating]]&lt;7,"Average")</f>
        <v>Excellent</v>
      </c>
    </row>
    <row r="187" spans="1:11" x14ac:dyDescent="0.35">
      <c r="A187" t="s">
        <v>1888</v>
      </c>
      <c r="B187">
        <v>1979</v>
      </c>
      <c r="C187">
        <v>100</v>
      </c>
      <c r="D187" t="s">
        <v>80</v>
      </c>
      <c r="E187">
        <v>7.7</v>
      </c>
      <c r="F187" t="s">
        <v>81</v>
      </c>
      <c r="G187" t="s">
        <v>1889</v>
      </c>
      <c r="H187">
        <v>27014</v>
      </c>
      <c r="I187">
        <v>762251541</v>
      </c>
      <c r="J187">
        <v>71</v>
      </c>
      <c r="K187" t="str" cm="1">
        <f t="array" ref="K187">_xlfn.IFS(Table1[[#This Row],[IMDB_Rating]]&gt;=9,"Masterpiece",Table1[[#This Row],[IMDB_Rating]]&gt;=8,"Excellent",Table1[[#This Row],[IMDB_Rating]]&gt;=7,"Good",Table1[[#This Row],[IMDB_Rating]]&lt;7,"Average")</f>
        <v>Good</v>
      </c>
    </row>
    <row r="188" spans="1:11" x14ac:dyDescent="0.35">
      <c r="A188" t="s">
        <v>1615</v>
      </c>
      <c r="B188">
        <v>1944</v>
      </c>
      <c r="C188">
        <v>100</v>
      </c>
      <c r="D188" t="s">
        <v>74</v>
      </c>
      <c r="E188">
        <v>7.8</v>
      </c>
      <c r="F188" t="s">
        <v>1032</v>
      </c>
      <c r="G188" t="s">
        <v>150</v>
      </c>
      <c r="H188">
        <v>31053</v>
      </c>
      <c r="I188">
        <v>477606207</v>
      </c>
      <c r="K188" t="str" cm="1">
        <f t="array" ref="K188">_xlfn.IFS(Table1[[#This Row],[IMDB_Rating]]&gt;=9,"Masterpiece",Table1[[#This Row],[IMDB_Rating]]&gt;=8,"Excellent",Table1[[#This Row],[IMDB_Rating]]&gt;=7,"Good",Table1[[#This Row],[IMDB_Rating]]&lt;7,"Average")</f>
        <v>Good</v>
      </c>
    </row>
    <row r="189" spans="1:11" x14ac:dyDescent="0.35">
      <c r="A189" t="s">
        <v>1377</v>
      </c>
      <c r="B189">
        <v>2019</v>
      </c>
      <c r="C189">
        <v>100</v>
      </c>
      <c r="D189" t="s">
        <v>80</v>
      </c>
      <c r="E189">
        <v>7.8</v>
      </c>
      <c r="F189" t="s">
        <v>1378</v>
      </c>
      <c r="G189" t="s">
        <v>45</v>
      </c>
      <c r="H189">
        <v>203177</v>
      </c>
      <c r="I189">
        <v>434038008</v>
      </c>
      <c r="J189">
        <v>84</v>
      </c>
      <c r="K189" t="str" cm="1">
        <f t="array" ref="K189">_xlfn.IFS(Table1[[#This Row],[IMDB_Rating]]&gt;=9,"Masterpiece",Table1[[#This Row],[IMDB_Rating]]&gt;=8,"Excellent",Table1[[#This Row],[IMDB_Rating]]&gt;=7,"Good",Table1[[#This Row],[IMDB_Rating]]&lt;7,"Average")</f>
        <v>Good</v>
      </c>
    </row>
    <row r="190" spans="1:11" x14ac:dyDescent="0.35">
      <c r="A190" t="s">
        <v>601</v>
      </c>
      <c r="B190">
        <v>2003</v>
      </c>
      <c r="C190">
        <v>100</v>
      </c>
      <c r="D190" t="s">
        <v>80</v>
      </c>
      <c r="E190">
        <v>8.1</v>
      </c>
      <c r="F190" t="s">
        <v>187</v>
      </c>
      <c r="G190" t="s">
        <v>177</v>
      </c>
      <c r="H190">
        <v>949565</v>
      </c>
      <c r="I190">
        <v>380843261</v>
      </c>
      <c r="J190">
        <v>90</v>
      </c>
      <c r="K190" t="str" cm="1">
        <f t="array" ref="K1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191" spans="1:11" x14ac:dyDescent="0.35">
      <c r="A191" t="s">
        <v>513</v>
      </c>
      <c r="B191">
        <v>2020</v>
      </c>
      <c r="C191">
        <v>100</v>
      </c>
      <c r="D191" t="s">
        <v>80</v>
      </c>
      <c r="E191">
        <v>8.1</v>
      </c>
      <c r="F191" t="s">
        <v>376</v>
      </c>
      <c r="G191" t="s">
        <v>514</v>
      </c>
      <c r="H191">
        <v>159171</v>
      </c>
      <c r="I191">
        <v>321826155</v>
      </c>
      <c r="J191">
        <v>83</v>
      </c>
      <c r="K191" t="str" cm="1">
        <f t="array" ref="K19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92" spans="1:11" x14ac:dyDescent="0.35">
      <c r="A192" t="s">
        <v>1703</v>
      </c>
      <c r="B192">
        <v>2009</v>
      </c>
      <c r="C192">
        <v>100</v>
      </c>
      <c r="D192" t="s">
        <v>67</v>
      </c>
      <c r="E192">
        <v>7.7</v>
      </c>
      <c r="F192" t="s">
        <v>104</v>
      </c>
      <c r="G192" t="s">
        <v>1704</v>
      </c>
      <c r="H192">
        <v>717559</v>
      </c>
      <c r="I192">
        <v>277322503</v>
      </c>
      <c r="J192">
        <v>73</v>
      </c>
      <c r="K192" t="str" cm="1">
        <f t="array" ref="K192">_xlfn.IFS(Table1[[#This Row],[IMDB_Rating]]&gt;=9,"Masterpiece",Table1[[#This Row],[IMDB_Rating]]&gt;=8,"Excellent",Table1[[#This Row],[IMDB_Rating]]&gt;=7,"Good",Table1[[#This Row],[IMDB_Rating]]&lt;7,"Average")</f>
        <v>Good</v>
      </c>
    </row>
    <row r="193" spans="1:11" x14ac:dyDescent="0.35">
      <c r="A193" t="s">
        <v>1690</v>
      </c>
      <c r="B193">
        <v>2014</v>
      </c>
      <c r="C193">
        <v>100</v>
      </c>
      <c r="D193" t="s">
        <v>80</v>
      </c>
      <c r="E193">
        <v>7.7</v>
      </c>
      <c r="F193" t="s">
        <v>1691</v>
      </c>
      <c r="G193" t="s">
        <v>1692</v>
      </c>
      <c r="H193">
        <v>323982</v>
      </c>
      <c r="I193">
        <v>257760692</v>
      </c>
      <c r="J193">
        <v>83</v>
      </c>
      <c r="K193" t="str" cm="1">
        <f t="array" ref="K193">_xlfn.IFS(Table1[[#This Row],[IMDB_Rating]]&gt;=9,"Masterpiece",Table1[[#This Row],[IMDB_Rating]]&gt;=8,"Excellent",Table1[[#This Row],[IMDB_Rating]]&gt;=7,"Good",Table1[[#This Row],[IMDB_Rating]]&lt;7,"Average")</f>
        <v>Good</v>
      </c>
    </row>
    <row r="194" spans="1:11" x14ac:dyDescent="0.35">
      <c r="A194" t="s">
        <v>1748</v>
      </c>
      <c r="B194">
        <v>2010</v>
      </c>
      <c r="C194">
        <v>100</v>
      </c>
      <c r="D194" t="s">
        <v>80</v>
      </c>
      <c r="E194">
        <v>7.7</v>
      </c>
      <c r="F194" t="s">
        <v>1749</v>
      </c>
      <c r="G194" t="s">
        <v>793</v>
      </c>
      <c r="H194">
        <v>405922</v>
      </c>
      <c r="I194">
        <v>200821936</v>
      </c>
      <c r="J194">
        <v>71</v>
      </c>
      <c r="K194" t="str" cm="1">
        <f t="array" ref="K194">_xlfn.IFS(Table1[[#This Row],[IMDB_Rating]]&gt;=9,"Masterpiece",Table1[[#This Row],[IMDB_Rating]]&gt;=8,"Excellent",Table1[[#This Row],[IMDB_Rating]]&gt;=7,"Good",Table1[[#This Row],[IMDB_Rating]]&lt;7,"Average")</f>
        <v>Good</v>
      </c>
    </row>
    <row r="195" spans="1:11" x14ac:dyDescent="0.35">
      <c r="A195" t="s">
        <v>1768</v>
      </c>
      <c r="B195">
        <v>2009</v>
      </c>
      <c r="C195">
        <v>100</v>
      </c>
      <c r="D195" t="s">
        <v>80</v>
      </c>
      <c r="E195">
        <v>7.7</v>
      </c>
      <c r="F195" t="s">
        <v>945</v>
      </c>
      <c r="G195" t="s">
        <v>1769</v>
      </c>
      <c r="H195">
        <v>197761</v>
      </c>
      <c r="I195">
        <v>75286229</v>
      </c>
      <c r="J195">
        <v>80</v>
      </c>
      <c r="K195" t="str" cm="1">
        <f t="array" ref="K195">_xlfn.IFS(Table1[[#This Row],[IMDB_Rating]]&gt;=9,"Masterpiece",Table1[[#This Row],[IMDB_Rating]]&gt;=8,"Excellent",Table1[[#This Row],[IMDB_Rating]]&gt;=7,"Good",Table1[[#This Row],[IMDB_Rating]]&lt;7,"Average")</f>
        <v>Good</v>
      </c>
    </row>
    <row r="196" spans="1:11" x14ac:dyDescent="0.35">
      <c r="A196" t="s">
        <v>1614</v>
      </c>
      <c r="B196">
        <v>1948</v>
      </c>
      <c r="C196">
        <v>100</v>
      </c>
      <c r="D196" t="s">
        <v>19</v>
      </c>
      <c r="E196">
        <v>7.8</v>
      </c>
      <c r="F196" t="s">
        <v>477</v>
      </c>
      <c r="G196" t="s">
        <v>150</v>
      </c>
      <c r="H196">
        <v>36995</v>
      </c>
      <c r="I196">
        <v>55936517</v>
      </c>
      <c r="K196" t="str" cm="1">
        <f t="array" ref="K196">_xlfn.IFS(Table1[[#This Row],[IMDB_Rating]]&gt;=9,"Masterpiece",Table1[[#This Row],[IMDB_Rating]]&gt;=8,"Excellent",Table1[[#This Row],[IMDB_Rating]]&gt;=7,"Good",Table1[[#This Row],[IMDB_Rating]]&lt;7,"Average")</f>
        <v>Good</v>
      </c>
    </row>
    <row r="197" spans="1:11" x14ac:dyDescent="0.35">
      <c r="A197" t="s">
        <v>1123</v>
      </c>
      <c r="B197">
        <v>2011</v>
      </c>
      <c r="C197">
        <v>100</v>
      </c>
      <c r="D197" t="s">
        <v>67</v>
      </c>
      <c r="E197">
        <v>7.9</v>
      </c>
      <c r="F197" t="s">
        <v>1124</v>
      </c>
      <c r="G197" t="s">
        <v>1125</v>
      </c>
      <c r="H197">
        <v>230624</v>
      </c>
      <c r="I197">
        <v>44671682</v>
      </c>
      <c r="J197">
        <v>89</v>
      </c>
      <c r="K197" t="str" cm="1">
        <f t="array" ref="K197">_xlfn.IFS(Table1[[#This Row],[IMDB_Rating]]&gt;=9,"Masterpiece",Table1[[#This Row],[IMDB_Rating]]&gt;=8,"Excellent",Table1[[#This Row],[IMDB_Rating]]&gt;=7,"Good",Table1[[#This Row],[IMDB_Rating]]&lt;7,"Average")</f>
        <v>Good</v>
      </c>
    </row>
    <row r="198" spans="1:11" x14ac:dyDescent="0.35">
      <c r="A198" t="s">
        <v>1433</v>
      </c>
      <c r="B198">
        <v>2011</v>
      </c>
      <c r="C198">
        <v>100</v>
      </c>
      <c r="D198" t="s">
        <v>15</v>
      </c>
      <c r="E198">
        <v>7.8</v>
      </c>
      <c r="F198" t="s">
        <v>1434</v>
      </c>
      <c r="G198" t="s">
        <v>787</v>
      </c>
      <c r="H198">
        <v>571571</v>
      </c>
      <c r="I198">
        <v>35061555</v>
      </c>
      <c r="J198">
        <v>78</v>
      </c>
      <c r="K198" t="str" cm="1">
        <f t="array" ref="K198">_xlfn.IFS(Table1[[#This Row],[IMDB_Rating]]&gt;=9,"Masterpiece",Table1[[#This Row],[IMDB_Rating]]&gt;=8,"Excellent",Table1[[#This Row],[IMDB_Rating]]&gt;=7,"Good",Table1[[#This Row],[IMDB_Rating]]&lt;7,"Average")</f>
        <v>Good</v>
      </c>
    </row>
    <row r="199" spans="1:11" x14ac:dyDescent="0.35">
      <c r="A199" t="s">
        <v>2017</v>
      </c>
      <c r="B199">
        <v>2011</v>
      </c>
      <c r="C199">
        <v>100</v>
      </c>
      <c r="D199" t="s">
        <v>67</v>
      </c>
      <c r="E199">
        <v>7.6</v>
      </c>
      <c r="F199" t="s">
        <v>2018</v>
      </c>
      <c r="G199" t="s">
        <v>2019</v>
      </c>
      <c r="H199">
        <v>315426</v>
      </c>
      <c r="I199">
        <v>35014192</v>
      </c>
      <c r="J199">
        <v>72</v>
      </c>
      <c r="K199" t="str" cm="1">
        <f t="array" ref="K199">_xlfn.IFS(Table1[[#This Row],[IMDB_Rating]]&gt;=9,"Masterpiece",Table1[[#This Row],[IMDB_Rating]]&gt;=8,"Excellent",Table1[[#This Row],[IMDB_Rating]]&gt;=7,"Good",Table1[[#This Row],[IMDB_Rating]]&lt;7,"Average")</f>
        <v>Good</v>
      </c>
    </row>
    <row r="200" spans="1:11" x14ac:dyDescent="0.35">
      <c r="A200" t="s">
        <v>2041</v>
      </c>
      <c r="B200">
        <v>2007</v>
      </c>
      <c r="C200">
        <v>100</v>
      </c>
      <c r="D200" t="s">
        <v>19</v>
      </c>
      <c r="E200">
        <v>7.6</v>
      </c>
      <c r="F200" t="s">
        <v>2042</v>
      </c>
      <c r="G200" t="s">
        <v>1206</v>
      </c>
      <c r="H200">
        <v>227760</v>
      </c>
      <c r="I200">
        <v>17114882</v>
      </c>
      <c r="J200">
        <v>82</v>
      </c>
      <c r="K200" t="str" cm="1">
        <f t="array" ref="K200">_xlfn.IFS(Table1[[#This Row],[IMDB_Rating]]&gt;=9,"Masterpiece",Table1[[#This Row],[IMDB_Rating]]&gt;=8,"Excellent",Table1[[#This Row],[IMDB_Rating]]&gt;=7,"Good",Table1[[#This Row],[IMDB_Rating]]&lt;7,"Average")</f>
        <v>Good</v>
      </c>
    </row>
    <row r="201" spans="1:11" x14ac:dyDescent="0.35">
      <c r="A201" t="s">
        <v>2114</v>
      </c>
      <c r="B201">
        <v>1998</v>
      </c>
      <c r="C201">
        <v>100</v>
      </c>
      <c r="D201" t="s">
        <v>196</v>
      </c>
      <c r="E201">
        <v>7.6</v>
      </c>
      <c r="F201" t="s">
        <v>2115</v>
      </c>
      <c r="G201" t="s">
        <v>2116</v>
      </c>
      <c r="H201">
        <v>187927</v>
      </c>
      <c r="I201">
        <v>14378331</v>
      </c>
      <c r="J201">
        <v>66</v>
      </c>
      <c r="K201" t="str" cm="1">
        <f t="array" ref="K201">_xlfn.IFS(Table1[[#This Row],[IMDB_Rating]]&gt;=9,"Masterpiece",Table1[[#This Row],[IMDB_Rating]]&gt;=8,"Excellent",Table1[[#This Row],[IMDB_Rating]]&gt;=7,"Good",Table1[[#This Row],[IMDB_Rating]]&lt;7,"Average")</f>
        <v>Good</v>
      </c>
    </row>
    <row r="202" spans="1:11" x14ac:dyDescent="0.35">
      <c r="A202" t="s">
        <v>1849</v>
      </c>
      <c r="B202">
        <v>1992</v>
      </c>
      <c r="C202">
        <v>100</v>
      </c>
      <c r="D202" t="s">
        <v>15</v>
      </c>
      <c r="E202">
        <v>7.7</v>
      </c>
      <c r="F202" t="s">
        <v>1850</v>
      </c>
      <c r="G202" t="s">
        <v>23</v>
      </c>
      <c r="H202">
        <v>95826</v>
      </c>
      <c r="I202">
        <v>10725228</v>
      </c>
      <c r="J202">
        <v>82</v>
      </c>
      <c r="K202" t="str" cm="1">
        <f t="array" ref="K202">_xlfn.IFS(Table1[[#This Row],[IMDB_Rating]]&gt;=9,"Masterpiece",Table1[[#This Row],[IMDB_Rating]]&gt;=8,"Excellent",Table1[[#This Row],[IMDB_Rating]]&gt;=7,"Good",Table1[[#This Row],[IMDB_Rating]]&lt;7,"Average")</f>
        <v>Good</v>
      </c>
    </row>
    <row r="203" spans="1:11" x14ac:dyDescent="0.35">
      <c r="A203" t="s">
        <v>1304</v>
      </c>
      <c r="B203">
        <v>1933</v>
      </c>
      <c r="C203">
        <v>100</v>
      </c>
      <c r="D203" t="s">
        <v>74</v>
      </c>
      <c r="E203">
        <v>7.9</v>
      </c>
      <c r="F203" t="s">
        <v>1305</v>
      </c>
      <c r="G203" t="s">
        <v>1306</v>
      </c>
      <c r="H203">
        <v>78991</v>
      </c>
      <c r="I203">
        <v>10000000</v>
      </c>
      <c r="J203">
        <v>90</v>
      </c>
      <c r="K203" t="str" cm="1">
        <f t="array" ref="K203">_xlfn.IFS(Table1[[#This Row],[IMDB_Rating]]&gt;=9,"Masterpiece",Table1[[#This Row],[IMDB_Rating]]&gt;=8,"Excellent",Table1[[#This Row],[IMDB_Rating]]&gt;=7,"Good",Table1[[#This Row],[IMDB_Rating]]&lt;7,"Average")</f>
        <v>Good</v>
      </c>
    </row>
    <row r="204" spans="1:11" x14ac:dyDescent="0.35">
      <c r="A204" t="s">
        <v>1587</v>
      </c>
      <c r="B204">
        <v>1971</v>
      </c>
      <c r="C204">
        <v>100</v>
      </c>
      <c r="D204" t="s">
        <v>1569</v>
      </c>
      <c r="E204">
        <v>7.8</v>
      </c>
      <c r="F204" t="s">
        <v>1588</v>
      </c>
      <c r="G204" t="s">
        <v>995</v>
      </c>
      <c r="H204">
        <v>178731</v>
      </c>
      <c r="I204">
        <v>4000000</v>
      </c>
      <c r="J204">
        <v>67</v>
      </c>
      <c r="K204" t="str" cm="1">
        <f t="array" ref="K204">_xlfn.IFS(Table1[[#This Row],[IMDB_Rating]]&gt;=9,"Masterpiece",Table1[[#This Row],[IMDB_Rating]]&gt;=8,"Excellent",Table1[[#This Row],[IMDB_Rating]]&gt;=7,"Good",Table1[[#This Row],[IMDB_Rating]]&lt;7,"Average")</f>
        <v>Good</v>
      </c>
    </row>
    <row r="205" spans="1:11" x14ac:dyDescent="0.35">
      <c r="A205" t="s">
        <v>1607</v>
      </c>
      <c r="B205">
        <v>1961</v>
      </c>
      <c r="C205">
        <v>100</v>
      </c>
      <c r="D205" t="s">
        <v>145</v>
      </c>
      <c r="E205">
        <v>7.8</v>
      </c>
      <c r="F205" t="s">
        <v>1608</v>
      </c>
      <c r="G205" t="s">
        <v>1609</v>
      </c>
      <c r="H205">
        <v>27007</v>
      </c>
      <c r="I205">
        <v>2616000</v>
      </c>
      <c r="J205">
        <v>88</v>
      </c>
      <c r="K205" t="str" cm="1">
        <f t="array" ref="K205">_xlfn.IFS(Table1[[#This Row],[IMDB_Rating]]&gt;=9,"Masterpiece",Table1[[#This Row],[IMDB_Rating]]&gt;=8,"Excellent",Table1[[#This Row],[IMDB_Rating]]&gt;=7,"Good",Table1[[#This Row],[IMDB_Rating]]&lt;7,"Average")</f>
        <v>Good</v>
      </c>
    </row>
    <row r="206" spans="1:11" x14ac:dyDescent="0.35">
      <c r="A206" t="s">
        <v>1069</v>
      </c>
      <c r="B206">
        <v>1941</v>
      </c>
      <c r="C206">
        <v>100</v>
      </c>
      <c r="D206" t="s">
        <v>744</v>
      </c>
      <c r="E206">
        <v>8</v>
      </c>
      <c r="F206" t="s">
        <v>477</v>
      </c>
      <c r="G206" t="s">
        <v>150</v>
      </c>
      <c r="H206">
        <v>148928</v>
      </c>
      <c r="I206">
        <v>2108060</v>
      </c>
      <c r="J206">
        <v>96</v>
      </c>
      <c r="K206" t="str" cm="1">
        <f t="array" ref="K2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207" spans="1:11" x14ac:dyDescent="0.35">
      <c r="A207" t="s">
        <v>1340</v>
      </c>
      <c r="B207">
        <v>2015</v>
      </c>
      <c r="C207">
        <v>100</v>
      </c>
      <c r="D207" t="s">
        <v>11</v>
      </c>
      <c r="E207">
        <v>7.8</v>
      </c>
      <c r="F207" t="s">
        <v>1341</v>
      </c>
      <c r="G207" t="s">
        <v>1342</v>
      </c>
      <c r="H207">
        <v>35539</v>
      </c>
      <c r="I207">
        <v>435266</v>
      </c>
      <c r="J207">
        <v>75</v>
      </c>
      <c r="K207" t="str" cm="1">
        <f t="array" ref="K207">_xlfn.IFS(Table1[[#This Row],[IMDB_Rating]]&gt;=9,"Masterpiece",Table1[[#This Row],[IMDB_Rating]]&gt;=8,"Excellent",Table1[[#This Row],[IMDB_Rating]]&gt;=7,"Good",Table1[[#This Row],[IMDB_Rating]]&lt;7,"Average")</f>
        <v>Good</v>
      </c>
    </row>
    <row r="208" spans="1:11" x14ac:dyDescent="0.35">
      <c r="A208" t="s">
        <v>1096</v>
      </c>
      <c r="B208">
        <v>2016</v>
      </c>
      <c r="C208">
        <v>100</v>
      </c>
      <c r="D208" t="s">
        <v>11</v>
      </c>
      <c r="E208">
        <v>7.9</v>
      </c>
      <c r="F208" t="s">
        <v>1097</v>
      </c>
      <c r="G208" t="s">
        <v>873</v>
      </c>
      <c r="H208">
        <v>53818</v>
      </c>
      <c r="I208">
        <v>258168</v>
      </c>
      <c r="J208">
        <v>78</v>
      </c>
      <c r="K208" t="str" cm="1">
        <f t="array" ref="K208">_xlfn.IFS(Table1[[#This Row],[IMDB_Rating]]&gt;=9,"Masterpiece",Table1[[#This Row],[IMDB_Rating]]&gt;=8,"Excellent",Table1[[#This Row],[IMDB_Rating]]&gt;=7,"Good",Table1[[#This Row],[IMDB_Rating]]&lt;7,"Average")</f>
        <v>Good</v>
      </c>
    </row>
    <row r="209" spans="1:11" x14ac:dyDescent="0.35">
      <c r="A209" t="s">
        <v>1916</v>
      </c>
      <c r="B209">
        <v>1967</v>
      </c>
      <c r="C209">
        <v>100</v>
      </c>
      <c r="D209" t="s">
        <v>11</v>
      </c>
      <c r="E209">
        <v>7.7</v>
      </c>
      <c r="F209" t="s">
        <v>711</v>
      </c>
      <c r="G209" t="s">
        <v>1917</v>
      </c>
      <c r="H209">
        <v>40274</v>
      </c>
      <c r="I209">
        <v>26331</v>
      </c>
      <c r="K209" t="str" cm="1">
        <f t="array" ref="K209">_xlfn.IFS(Table1[[#This Row],[IMDB_Rating]]&gt;=9,"Masterpiece",Table1[[#This Row],[IMDB_Rating]]&gt;=8,"Excellent",Table1[[#This Row],[IMDB_Rating]]&gt;=7,"Good",Table1[[#This Row],[IMDB_Rating]]&lt;7,"Average")</f>
        <v>Good</v>
      </c>
    </row>
    <row r="210" spans="1:11" x14ac:dyDescent="0.35">
      <c r="A210" t="s">
        <v>1085</v>
      </c>
      <c r="B210">
        <v>2020</v>
      </c>
      <c r="C210">
        <v>101</v>
      </c>
      <c r="D210" t="s">
        <v>67</v>
      </c>
      <c r="E210">
        <v>7.9</v>
      </c>
      <c r="F210" t="s">
        <v>1086</v>
      </c>
      <c r="G210" t="s">
        <v>327</v>
      </c>
      <c r="H210">
        <v>111478</v>
      </c>
      <c r="I210">
        <v>228629261</v>
      </c>
      <c r="K210" t="str" cm="1">
        <f t="array" ref="K210">_xlfn.IFS(Table1[[#This Row],[IMDB_Rating]]&gt;=9,"Masterpiece",Table1[[#This Row],[IMDB_Rating]]&gt;=8,"Excellent",Table1[[#This Row],[IMDB_Rating]]&gt;=7,"Good",Table1[[#This Row],[IMDB_Rating]]&lt;7,"Average")</f>
        <v>Good</v>
      </c>
    </row>
    <row r="211" spans="1:11" x14ac:dyDescent="0.35">
      <c r="A211" t="s">
        <v>1682</v>
      </c>
      <c r="B211">
        <v>2012</v>
      </c>
      <c r="C211">
        <v>101</v>
      </c>
      <c r="D211" t="s">
        <v>80</v>
      </c>
      <c r="E211">
        <v>7.7</v>
      </c>
      <c r="F211" t="s">
        <v>794</v>
      </c>
      <c r="G211" t="s">
        <v>1683</v>
      </c>
      <c r="H211">
        <v>380195</v>
      </c>
      <c r="I211">
        <v>189422889</v>
      </c>
      <c r="J211">
        <v>72</v>
      </c>
      <c r="K211" t="str" cm="1">
        <f t="array" ref="K211">_xlfn.IFS(Table1[[#This Row],[IMDB_Rating]]&gt;=9,"Masterpiece",Table1[[#This Row],[IMDB_Rating]]&gt;=8,"Excellent",Table1[[#This Row],[IMDB_Rating]]&gt;=7,"Good",Table1[[#This Row],[IMDB_Rating]]&lt;7,"Average")</f>
        <v>Good</v>
      </c>
    </row>
    <row r="212" spans="1:11" x14ac:dyDescent="0.35">
      <c r="A212" t="s">
        <v>2096</v>
      </c>
      <c r="B212">
        <v>2001</v>
      </c>
      <c r="C212">
        <v>101</v>
      </c>
      <c r="D212" t="s">
        <v>145</v>
      </c>
      <c r="E212">
        <v>7.6</v>
      </c>
      <c r="F212" t="s">
        <v>889</v>
      </c>
      <c r="G212" t="s">
        <v>910</v>
      </c>
      <c r="H212">
        <v>337651</v>
      </c>
      <c r="I212">
        <v>96522687</v>
      </c>
      <c r="J212">
        <v>74</v>
      </c>
      <c r="K212" t="str" cm="1">
        <f t="array" ref="K212">_xlfn.IFS(Table1[[#This Row],[IMDB_Rating]]&gt;=9,"Masterpiece",Table1[[#This Row],[IMDB_Rating]]&gt;=8,"Excellent",Table1[[#This Row],[IMDB_Rating]]&gt;=7,"Good",Table1[[#This Row],[IMDB_Rating]]&lt;7,"Average")</f>
        <v>Good</v>
      </c>
    </row>
    <row r="213" spans="1:11" x14ac:dyDescent="0.35">
      <c r="A213" t="s">
        <v>947</v>
      </c>
      <c r="B213">
        <v>1993</v>
      </c>
      <c r="C213">
        <v>101</v>
      </c>
      <c r="D213" t="s">
        <v>67</v>
      </c>
      <c r="E213">
        <v>8</v>
      </c>
      <c r="F213" t="s">
        <v>948</v>
      </c>
      <c r="G213" t="s">
        <v>949</v>
      </c>
      <c r="H213">
        <v>577991</v>
      </c>
      <c r="I213">
        <v>70906973</v>
      </c>
      <c r="J213">
        <v>72</v>
      </c>
      <c r="K213" t="str" cm="1">
        <f t="array" ref="K213">_xlfn.IFS(Table1[[#This Row],[IMDB_Rating]]&gt;=9,"Masterpiece",Table1[[#This Row],[IMDB_Rating]]&gt;=8,"Excellent",Table1[[#This Row],[IMDB_Rating]]&gt;=7,"Good",Table1[[#This Row],[IMDB_Rating]]&lt;7,"Average")</f>
        <v>Excellent</v>
      </c>
    </row>
    <row r="214" spans="1:11" x14ac:dyDescent="0.35">
      <c r="A214" t="s">
        <v>1444</v>
      </c>
      <c r="B214">
        <v>2006</v>
      </c>
      <c r="C214">
        <v>101</v>
      </c>
      <c r="D214" t="s">
        <v>67</v>
      </c>
      <c r="E214">
        <v>7.8</v>
      </c>
      <c r="F214" t="s">
        <v>1445</v>
      </c>
      <c r="G214" t="s">
        <v>1446</v>
      </c>
      <c r="H214">
        <v>439856</v>
      </c>
      <c r="I214">
        <v>59891098</v>
      </c>
      <c r="J214">
        <v>80</v>
      </c>
      <c r="K214" t="str" cm="1">
        <f t="array" ref="K214">_xlfn.IFS(Table1[[#This Row],[IMDB_Rating]]&gt;=9,"Masterpiece",Table1[[#This Row],[IMDB_Rating]]&gt;=8,"Excellent",Table1[[#This Row],[IMDB_Rating]]&gt;=7,"Good",Table1[[#This Row],[IMDB_Rating]]&lt;7,"Average")</f>
        <v>Good</v>
      </c>
    </row>
    <row r="215" spans="1:11" x14ac:dyDescent="0.35">
      <c r="A215" t="s">
        <v>1333</v>
      </c>
      <c r="B215">
        <v>2016</v>
      </c>
      <c r="C215">
        <v>101</v>
      </c>
      <c r="D215" t="s">
        <v>80</v>
      </c>
      <c r="E215">
        <v>7.8</v>
      </c>
      <c r="F215" t="s">
        <v>1334</v>
      </c>
      <c r="G215" t="s">
        <v>1335</v>
      </c>
      <c r="H215">
        <v>118035</v>
      </c>
      <c r="I215">
        <v>48023088</v>
      </c>
      <c r="J215">
        <v>84</v>
      </c>
      <c r="K215" t="str" cm="1">
        <f t="array" ref="K215">_xlfn.IFS(Table1[[#This Row],[IMDB_Rating]]&gt;=9,"Masterpiece",Table1[[#This Row],[IMDB_Rating]]&gt;=8,"Excellent",Table1[[#This Row],[IMDB_Rating]]&gt;=7,"Good",Table1[[#This Row],[IMDB_Rating]]&lt;7,"Average")</f>
        <v>Good</v>
      </c>
    </row>
    <row r="216" spans="1:11" x14ac:dyDescent="0.35">
      <c r="A216" t="s">
        <v>1510</v>
      </c>
      <c r="B216">
        <v>1993</v>
      </c>
      <c r="C216">
        <v>101</v>
      </c>
      <c r="D216" t="s">
        <v>67</v>
      </c>
      <c r="E216">
        <v>7.8</v>
      </c>
      <c r="F216" t="s">
        <v>1511</v>
      </c>
      <c r="G216" t="s">
        <v>1512</v>
      </c>
      <c r="H216">
        <v>78963</v>
      </c>
      <c r="I216">
        <v>32416586</v>
      </c>
      <c r="J216">
        <v>55</v>
      </c>
      <c r="K216" t="str" cm="1">
        <f t="array" ref="K216">_xlfn.IFS(Table1[[#This Row],[IMDB_Rating]]&gt;=9,"Masterpiece",Table1[[#This Row],[IMDB_Rating]]&gt;=8,"Excellent",Table1[[#This Row],[IMDB_Rating]]&gt;=7,"Good",Table1[[#This Row],[IMDB_Rating]]&lt;7,"Average")</f>
        <v>Good</v>
      </c>
    </row>
    <row r="217" spans="1:11" x14ac:dyDescent="0.35">
      <c r="A217" t="s">
        <v>1098</v>
      </c>
      <c r="B217">
        <v>2018</v>
      </c>
      <c r="C217">
        <v>101</v>
      </c>
      <c r="D217" t="s">
        <v>80</v>
      </c>
      <c r="E217">
        <v>7.9</v>
      </c>
      <c r="F217" t="s">
        <v>523</v>
      </c>
      <c r="G217" t="s">
        <v>1099</v>
      </c>
      <c r="H217">
        <v>139114</v>
      </c>
      <c r="I217">
        <v>32015231</v>
      </c>
      <c r="J217">
        <v>82</v>
      </c>
      <c r="K217" t="str" cm="1">
        <f t="array" ref="K217">_xlfn.IFS(Table1[[#This Row],[IMDB_Rating]]&gt;=9,"Masterpiece",Table1[[#This Row],[IMDB_Rating]]&gt;=8,"Excellent",Table1[[#This Row],[IMDB_Rating]]&gt;=7,"Good",Table1[[#This Row],[IMDB_Rating]]&lt;7,"Average")</f>
        <v>Good</v>
      </c>
    </row>
    <row r="218" spans="1:11" x14ac:dyDescent="0.35">
      <c r="A218" t="s">
        <v>1968</v>
      </c>
      <c r="B218">
        <v>2017</v>
      </c>
      <c r="C218">
        <v>101</v>
      </c>
      <c r="D218" t="s">
        <v>11</v>
      </c>
      <c r="E218">
        <v>7.6</v>
      </c>
      <c r="F218" t="s">
        <v>1710</v>
      </c>
      <c r="G218" t="s">
        <v>1969</v>
      </c>
      <c r="H218">
        <v>99643</v>
      </c>
      <c r="I218">
        <v>24801212</v>
      </c>
      <c r="J218">
        <v>60</v>
      </c>
      <c r="K218" t="str" cm="1">
        <f t="array" ref="K218">_xlfn.IFS(Table1[[#This Row],[IMDB_Rating]]&gt;=9,"Masterpiece",Table1[[#This Row],[IMDB_Rating]]&gt;=8,"Excellent",Table1[[#This Row],[IMDB_Rating]]&gt;=7,"Good",Table1[[#This Row],[IMDB_Rating]]&lt;7,"Average")</f>
        <v>Good</v>
      </c>
    </row>
    <row r="219" spans="1:11" x14ac:dyDescent="0.35">
      <c r="A219" t="s">
        <v>1713</v>
      </c>
      <c r="B219">
        <v>2008</v>
      </c>
      <c r="C219">
        <v>101</v>
      </c>
      <c r="D219" t="s">
        <v>80</v>
      </c>
      <c r="E219">
        <v>7.7</v>
      </c>
      <c r="F219" t="s">
        <v>81</v>
      </c>
      <c r="G219" t="s">
        <v>1714</v>
      </c>
      <c r="H219">
        <v>125317</v>
      </c>
      <c r="I219">
        <v>15090400</v>
      </c>
      <c r="J219">
        <v>86</v>
      </c>
      <c r="K219" t="str" cm="1">
        <f t="array" ref="K219">_xlfn.IFS(Table1[[#This Row],[IMDB_Rating]]&gt;=9,"Masterpiece",Table1[[#This Row],[IMDB_Rating]]&gt;=8,"Excellent",Table1[[#This Row],[IMDB_Rating]]&gt;=7,"Good",Table1[[#This Row],[IMDB_Rating]]&lt;7,"Average")</f>
        <v>Good</v>
      </c>
    </row>
    <row r="220" spans="1:11" x14ac:dyDescent="0.35">
      <c r="A220" t="s">
        <v>2103</v>
      </c>
      <c r="B220">
        <v>2000</v>
      </c>
      <c r="C220">
        <v>101</v>
      </c>
      <c r="D220" t="s">
        <v>67</v>
      </c>
      <c r="E220">
        <v>7.6</v>
      </c>
      <c r="F220" t="s">
        <v>2104</v>
      </c>
      <c r="G220" t="s">
        <v>21</v>
      </c>
      <c r="H220">
        <v>490062</v>
      </c>
      <c r="I220">
        <v>15070285</v>
      </c>
      <c r="J220">
        <v>64</v>
      </c>
      <c r="K220" t="str" cm="1">
        <f t="array" ref="K220">_xlfn.IFS(Table1[[#This Row],[IMDB_Rating]]&gt;=9,"Masterpiece",Table1[[#This Row],[IMDB_Rating]]&gt;=8,"Excellent",Table1[[#This Row],[IMDB_Rating]]&gt;=7,"Good",Table1[[#This Row],[IMDB_Rating]]&lt;7,"Average")</f>
        <v>Good</v>
      </c>
    </row>
    <row r="221" spans="1:11" x14ac:dyDescent="0.35">
      <c r="A221" t="s">
        <v>1296</v>
      </c>
      <c r="B221">
        <v>1945</v>
      </c>
      <c r="C221">
        <v>101</v>
      </c>
      <c r="D221" t="s">
        <v>11</v>
      </c>
      <c r="E221">
        <v>7.9</v>
      </c>
      <c r="F221" t="s">
        <v>216</v>
      </c>
      <c r="G221" t="s">
        <v>468</v>
      </c>
      <c r="H221">
        <v>33549</v>
      </c>
      <c r="I221">
        <v>9460000</v>
      </c>
      <c r="K221" t="str" cm="1">
        <f t="array" ref="K221">_xlfn.IFS(Table1[[#This Row],[IMDB_Rating]]&gt;=9,"Masterpiece",Table1[[#This Row],[IMDB_Rating]]&gt;=8,"Excellent",Table1[[#This Row],[IMDB_Rating]]&gt;=7,"Good",Table1[[#This Row],[IMDB_Rating]]&lt;7,"Average")</f>
        <v>Good</v>
      </c>
    </row>
    <row r="222" spans="1:11" x14ac:dyDescent="0.35">
      <c r="A222" t="s">
        <v>1485</v>
      </c>
      <c r="B222">
        <v>1999</v>
      </c>
      <c r="C222">
        <v>101</v>
      </c>
      <c r="D222" t="s">
        <v>11</v>
      </c>
      <c r="E222">
        <v>7.8</v>
      </c>
      <c r="F222" t="s">
        <v>1188</v>
      </c>
      <c r="G222" t="s">
        <v>1486</v>
      </c>
      <c r="H222">
        <v>89058</v>
      </c>
      <c r="I222">
        <v>8264530</v>
      </c>
      <c r="J222">
        <v>87</v>
      </c>
      <c r="K222" t="str" cm="1">
        <f t="array" ref="K222">_xlfn.IFS(Table1[[#This Row],[IMDB_Rating]]&gt;=9,"Masterpiece",Table1[[#This Row],[IMDB_Rating]]&gt;=8,"Excellent",Table1[[#This Row],[IMDB_Rating]]&gt;=7,"Good",Table1[[#This Row],[IMDB_Rating]]&lt;7,"Average")</f>
        <v>Good</v>
      </c>
    </row>
    <row r="223" spans="1:11" x14ac:dyDescent="0.35">
      <c r="A223" t="s">
        <v>1287</v>
      </c>
      <c r="B223">
        <v>1951</v>
      </c>
      <c r="C223">
        <v>101</v>
      </c>
      <c r="D223" t="s">
        <v>15</v>
      </c>
      <c r="E223">
        <v>7.9</v>
      </c>
      <c r="F223" t="s">
        <v>146</v>
      </c>
      <c r="G223" t="s">
        <v>1288</v>
      </c>
      <c r="H223">
        <v>123341</v>
      </c>
      <c r="I223">
        <v>7630000</v>
      </c>
      <c r="J223">
        <v>88</v>
      </c>
      <c r="K223" t="str" cm="1">
        <f t="array" ref="K223">_xlfn.IFS(Table1[[#This Row],[IMDB_Rating]]&gt;=9,"Masterpiece",Table1[[#This Row],[IMDB_Rating]]&gt;=8,"Excellent",Table1[[#This Row],[IMDB_Rating]]&gt;=7,"Good",Table1[[#This Row],[IMDB_Rating]]&lt;7,"Average")</f>
        <v>Good</v>
      </c>
    </row>
    <row r="224" spans="1:11" x14ac:dyDescent="0.35">
      <c r="A224" t="s">
        <v>635</v>
      </c>
      <c r="B224">
        <v>1995</v>
      </c>
      <c r="C224">
        <v>101</v>
      </c>
      <c r="D224" t="s">
        <v>11</v>
      </c>
      <c r="E224">
        <v>8.1</v>
      </c>
      <c r="F224" t="s">
        <v>594</v>
      </c>
      <c r="G224" t="s">
        <v>595</v>
      </c>
      <c r="H224">
        <v>272291</v>
      </c>
      <c r="I224">
        <v>5535405</v>
      </c>
      <c r="J224">
        <v>77</v>
      </c>
      <c r="K224" t="str" cm="1">
        <f t="array" ref="K224">_xlfn.IFS(Table1[[#This Row],[IMDB_Rating]]&gt;=9,"Masterpiece",Table1[[#This Row],[IMDB_Rating]]&gt;=8,"Excellent",Table1[[#This Row],[IMDB_Rating]]&gt;=7,"Good",Table1[[#This Row],[IMDB_Rating]]&lt;7,"Average")</f>
        <v>Excellent</v>
      </c>
    </row>
    <row r="225" spans="1:11" x14ac:dyDescent="0.35">
      <c r="A225" t="s">
        <v>1100</v>
      </c>
      <c r="B225">
        <v>2016</v>
      </c>
      <c r="C225">
        <v>101</v>
      </c>
      <c r="D225" t="s">
        <v>74</v>
      </c>
      <c r="E225">
        <v>7.9</v>
      </c>
      <c r="F225" t="s">
        <v>1101</v>
      </c>
      <c r="G225" t="s">
        <v>642</v>
      </c>
      <c r="H225">
        <v>111483</v>
      </c>
      <c r="I225">
        <v>5202582</v>
      </c>
      <c r="J225">
        <v>81</v>
      </c>
      <c r="K225" t="str" cm="1">
        <f t="array" ref="K225">_xlfn.IFS(Table1[[#This Row],[IMDB_Rating]]&gt;=9,"Masterpiece",Table1[[#This Row],[IMDB_Rating]]&gt;=8,"Excellent",Table1[[#This Row],[IMDB_Rating]]&gt;=7,"Good",Table1[[#This Row],[IMDB_Rating]]&lt;7,"Average")</f>
        <v>Good</v>
      </c>
    </row>
    <row r="226" spans="1:11" x14ac:dyDescent="0.35">
      <c r="A226" t="s">
        <v>2004</v>
      </c>
      <c r="B226">
        <v>2011</v>
      </c>
      <c r="C226">
        <v>101</v>
      </c>
      <c r="D226" t="s">
        <v>19</v>
      </c>
      <c r="E226">
        <v>7.6</v>
      </c>
      <c r="F226" t="s">
        <v>807</v>
      </c>
      <c r="G226" t="s">
        <v>808</v>
      </c>
      <c r="H226">
        <v>190531</v>
      </c>
      <c r="I226">
        <v>4105123</v>
      </c>
      <c r="J226">
        <v>73</v>
      </c>
      <c r="K226" t="str" cm="1">
        <f t="array" ref="K226">_xlfn.IFS(Table1[[#This Row],[IMDB_Rating]]&gt;=9,"Masterpiece",Table1[[#This Row],[IMDB_Rating]]&gt;=8,"Excellent",Table1[[#This Row],[IMDB_Rating]]&gt;=7,"Good",Table1[[#This Row],[IMDB_Rating]]&lt;7,"Average")</f>
        <v>Good</v>
      </c>
    </row>
    <row r="227" spans="1:11" x14ac:dyDescent="0.35">
      <c r="A227" t="s">
        <v>1760</v>
      </c>
      <c r="B227">
        <v>2004</v>
      </c>
      <c r="C227">
        <v>101</v>
      </c>
      <c r="D227" t="s">
        <v>11</v>
      </c>
      <c r="E227">
        <v>7.7</v>
      </c>
      <c r="F227" t="s">
        <v>1761</v>
      </c>
      <c r="G227" t="s">
        <v>21</v>
      </c>
      <c r="H227">
        <v>358432</v>
      </c>
      <c r="I227">
        <v>1082715</v>
      </c>
      <c r="J227">
        <v>61</v>
      </c>
      <c r="K227" t="str" cm="1">
        <f t="array" ref="K227">_xlfn.IFS(Table1[[#This Row],[IMDB_Rating]]&gt;=9,"Masterpiece",Table1[[#This Row],[IMDB_Rating]]&gt;=8,"Excellent",Table1[[#This Row],[IMDB_Rating]]&gt;=7,"Good",Table1[[#This Row],[IMDB_Rating]]&lt;7,"Average")</f>
        <v>Good</v>
      </c>
    </row>
    <row r="228" spans="1:11" x14ac:dyDescent="0.35">
      <c r="A228" t="s">
        <v>192</v>
      </c>
      <c r="B228">
        <v>2003</v>
      </c>
      <c r="C228">
        <v>101</v>
      </c>
      <c r="D228" t="s">
        <v>19</v>
      </c>
      <c r="E228">
        <v>8.4</v>
      </c>
      <c r="F228" t="s">
        <v>193</v>
      </c>
      <c r="G228" t="s">
        <v>194</v>
      </c>
      <c r="H228">
        <v>515451</v>
      </c>
      <c r="I228">
        <v>707481</v>
      </c>
      <c r="J228">
        <v>77</v>
      </c>
      <c r="K228" t="str" cm="1">
        <f t="array" ref="K228">_xlfn.IFS(Table1[[#This Row],[IMDB_Rating]]&gt;=9,"Masterpiece",Table1[[#This Row],[IMDB_Rating]]&gt;=8,"Excellent",Table1[[#This Row],[IMDB_Rating]]&gt;=7,"Good",Table1[[#This Row],[IMDB_Rating]]&lt;7,"Average")</f>
        <v>Excellent</v>
      </c>
    </row>
    <row r="229" spans="1:11" x14ac:dyDescent="0.35">
      <c r="A229" t="s">
        <v>1728</v>
      </c>
      <c r="B229">
        <v>2006</v>
      </c>
      <c r="C229">
        <v>101</v>
      </c>
      <c r="D229" t="s">
        <v>15</v>
      </c>
      <c r="E229">
        <v>7.7</v>
      </c>
      <c r="F229" t="s">
        <v>1729</v>
      </c>
      <c r="G229" t="s">
        <v>1730</v>
      </c>
      <c r="H229">
        <v>115576</v>
      </c>
      <c r="I229">
        <v>327919</v>
      </c>
      <c r="J229">
        <v>86</v>
      </c>
      <c r="K229" t="str" cm="1">
        <f t="array" ref="K229">_xlfn.IFS(Table1[[#This Row],[IMDB_Rating]]&gt;=9,"Masterpiece",Table1[[#This Row],[IMDB_Rating]]&gt;=8,"Excellent",Table1[[#This Row],[IMDB_Rating]]&gt;=7,"Good",Table1[[#This Row],[IMDB_Rating]]&lt;7,"Average")</f>
        <v>Good</v>
      </c>
    </row>
    <row r="230" spans="1:11" x14ac:dyDescent="0.35">
      <c r="A230" t="s">
        <v>895</v>
      </c>
      <c r="B230">
        <v>2002</v>
      </c>
      <c r="C230">
        <v>101</v>
      </c>
      <c r="D230" t="s">
        <v>19</v>
      </c>
      <c r="E230">
        <v>8</v>
      </c>
      <c r="F230" t="s">
        <v>896</v>
      </c>
      <c r="G230" t="s">
        <v>897</v>
      </c>
      <c r="H230">
        <v>117857</v>
      </c>
      <c r="I230">
        <v>169659</v>
      </c>
      <c r="J230">
        <v>75</v>
      </c>
      <c r="K230" t="str" cm="1">
        <f t="array" ref="K230">_xlfn.IFS(Table1[[#This Row],[IMDB_Rating]]&gt;=9,"Masterpiece",Table1[[#This Row],[IMDB_Rating]]&gt;=8,"Excellent",Table1[[#This Row],[IMDB_Rating]]&gt;=7,"Good",Table1[[#This Row],[IMDB_Rating]]&lt;7,"Average")</f>
        <v>Excellent</v>
      </c>
    </row>
    <row r="231" spans="1:11" x14ac:dyDescent="0.35">
      <c r="A231" t="s">
        <v>1930</v>
      </c>
      <c r="B231">
        <v>1960</v>
      </c>
      <c r="C231">
        <v>101</v>
      </c>
      <c r="D231" t="s">
        <v>11</v>
      </c>
      <c r="E231">
        <v>7.7</v>
      </c>
      <c r="F231" t="s">
        <v>747</v>
      </c>
      <c r="G231" t="s">
        <v>1931</v>
      </c>
      <c r="H231">
        <v>31354</v>
      </c>
      <c r="I231">
        <v>83957</v>
      </c>
      <c r="K231" t="str" cm="1">
        <f t="array" ref="K231">_xlfn.IFS(Table1[[#This Row],[IMDB_Rating]]&gt;=9,"Masterpiece",Table1[[#This Row],[IMDB_Rating]]&gt;=8,"Excellent",Table1[[#This Row],[IMDB_Rating]]&gt;=7,"Good",Table1[[#This Row],[IMDB_Rating]]&lt;7,"Average")</f>
        <v>Good</v>
      </c>
    </row>
    <row r="232" spans="1:11" x14ac:dyDescent="0.35">
      <c r="A232" t="s">
        <v>1367</v>
      </c>
      <c r="B232">
        <v>2014</v>
      </c>
      <c r="C232">
        <v>102</v>
      </c>
      <c r="D232" t="s">
        <v>80</v>
      </c>
      <c r="E232">
        <v>7.8</v>
      </c>
      <c r="F232" t="s">
        <v>1368</v>
      </c>
      <c r="G232" t="s">
        <v>1369</v>
      </c>
      <c r="H232">
        <v>410983</v>
      </c>
      <c r="I232">
        <v>222527828</v>
      </c>
      <c r="J232">
        <v>74</v>
      </c>
      <c r="K232" t="str" cm="1">
        <f t="array" ref="K232">_xlfn.IFS(Table1[[#This Row],[IMDB_Rating]]&gt;=9,"Masterpiece",Table1[[#This Row],[IMDB_Rating]]&gt;=8,"Excellent",Table1[[#This Row],[IMDB_Rating]]&gt;=7,"Good",Table1[[#This Row],[IMDB_Rating]]&lt;7,"Average")</f>
        <v>Good</v>
      </c>
    </row>
    <row r="233" spans="1:11" x14ac:dyDescent="0.35">
      <c r="A233" t="s">
        <v>1383</v>
      </c>
      <c r="B233">
        <v>2014</v>
      </c>
      <c r="C233">
        <v>102</v>
      </c>
      <c r="D233" t="s">
        <v>80</v>
      </c>
      <c r="E233">
        <v>7.8</v>
      </c>
      <c r="F233" t="s">
        <v>575</v>
      </c>
      <c r="G233" t="s">
        <v>1384</v>
      </c>
      <c r="H233">
        <v>305611</v>
      </c>
      <c r="I233">
        <v>177002924</v>
      </c>
      <c r="J233">
        <v>76</v>
      </c>
      <c r="K233" t="str" cm="1">
        <f t="array" ref="K233">_xlfn.IFS(Table1[[#This Row],[IMDB_Rating]]&gt;=9,"Masterpiece",Table1[[#This Row],[IMDB_Rating]]&gt;=8,"Excellent",Table1[[#This Row],[IMDB_Rating]]&gt;=7,"Good",Table1[[#This Row],[IMDB_Rating]]&lt;7,"Average")</f>
        <v>Good</v>
      </c>
    </row>
    <row r="234" spans="1:11" x14ac:dyDescent="0.35">
      <c r="A234" t="s">
        <v>1621</v>
      </c>
      <c r="B234">
        <v>1938</v>
      </c>
      <c r="C234">
        <v>102</v>
      </c>
      <c r="D234" t="s">
        <v>67</v>
      </c>
      <c r="E234">
        <v>7.8</v>
      </c>
      <c r="F234" t="s">
        <v>1032</v>
      </c>
      <c r="G234" t="s">
        <v>1622</v>
      </c>
      <c r="H234">
        <v>55163</v>
      </c>
      <c r="I234">
        <v>152238346</v>
      </c>
      <c r="J234">
        <v>91</v>
      </c>
      <c r="K234" t="str" cm="1">
        <f t="array" ref="K234">_xlfn.IFS(Table1[[#This Row],[IMDB_Rating]]&gt;=9,"Masterpiece",Table1[[#This Row],[IMDB_Rating]]&gt;=8,"Excellent",Table1[[#This Row],[IMDB_Rating]]&gt;=7,"Good",Table1[[#This Row],[IMDB_Rating]]&lt;7,"Average")</f>
        <v>Good</v>
      </c>
    </row>
    <row r="235" spans="1:11" x14ac:dyDescent="0.35">
      <c r="A235" t="s">
        <v>1763</v>
      </c>
      <c r="B235">
        <v>2003</v>
      </c>
      <c r="C235">
        <v>102</v>
      </c>
      <c r="D235" t="s">
        <v>67</v>
      </c>
      <c r="E235">
        <v>7.7</v>
      </c>
      <c r="F235" t="s">
        <v>1764</v>
      </c>
      <c r="G235" t="s">
        <v>949</v>
      </c>
      <c r="H235">
        <v>415074</v>
      </c>
      <c r="I235">
        <v>44585453</v>
      </c>
      <c r="J235">
        <v>89</v>
      </c>
      <c r="K235" t="str" cm="1">
        <f t="array" ref="K235">_xlfn.IFS(Table1[[#This Row],[IMDB_Rating]]&gt;=9,"Masterpiece",Table1[[#This Row],[IMDB_Rating]]&gt;=8,"Excellent",Table1[[#This Row],[IMDB_Rating]]&gt;=7,"Good",Table1[[#This Row],[IMDB_Rating]]&lt;7,"Average")</f>
        <v>Good</v>
      </c>
    </row>
    <row r="236" spans="1:11" x14ac:dyDescent="0.35">
      <c r="A236" t="s">
        <v>1907</v>
      </c>
      <c r="B236">
        <v>1971</v>
      </c>
      <c r="C236">
        <v>102</v>
      </c>
      <c r="D236" t="s">
        <v>19</v>
      </c>
      <c r="E236">
        <v>7.7</v>
      </c>
      <c r="F236" t="s">
        <v>1908</v>
      </c>
      <c r="G236" t="s">
        <v>49</v>
      </c>
      <c r="H236">
        <v>143292</v>
      </c>
      <c r="I236">
        <v>35900000</v>
      </c>
      <c r="J236">
        <v>90</v>
      </c>
      <c r="K236" t="str" cm="1">
        <f t="array" ref="K236">_xlfn.IFS(Table1[[#This Row],[IMDB_Rating]]&gt;=9,"Masterpiece",Table1[[#This Row],[IMDB_Rating]]&gt;=8,"Excellent",Table1[[#This Row],[IMDB_Rating]]&gt;=7,"Good",Table1[[#This Row],[IMDB_Rating]]&lt;7,"Average")</f>
        <v>Good</v>
      </c>
    </row>
    <row r="237" spans="1:11" x14ac:dyDescent="0.35">
      <c r="A237" t="s">
        <v>692</v>
      </c>
      <c r="B237">
        <v>1973</v>
      </c>
      <c r="C237">
        <v>102</v>
      </c>
      <c r="D237" t="s">
        <v>67</v>
      </c>
      <c r="E237">
        <v>8.1</v>
      </c>
      <c r="F237" t="s">
        <v>693</v>
      </c>
      <c r="G237" t="s">
        <v>688</v>
      </c>
      <c r="H237">
        <v>42285</v>
      </c>
      <c r="I237">
        <v>30933743</v>
      </c>
      <c r="J237">
        <v>77</v>
      </c>
      <c r="K237" t="str" cm="1">
        <f t="array" ref="K2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238" spans="1:11" x14ac:dyDescent="0.35">
      <c r="A238" t="s">
        <v>1994</v>
      </c>
      <c r="B238">
        <v>2016</v>
      </c>
      <c r="C238">
        <v>102</v>
      </c>
      <c r="D238" t="s">
        <v>19</v>
      </c>
      <c r="E238">
        <v>7.6</v>
      </c>
      <c r="F238" t="s">
        <v>1995</v>
      </c>
      <c r="G238" t="s">
        <v>1153</v>
      </c>
      <c r="H238">
        <v>204175</v>
      </c>
      <c r="I238">
        <v>26862450</v>
      </c>
      <c r="J238">
        <v>88</v>
      </c>
      <c r="K238" t="str" cm="1">
        <f t="array" ref="K238">_xlfn.IFS(Table1[[#This Row],[IMDB_Rating]]&gt;=9,"Masterpiece",Table1[[#This Row],[IMDB_Rating]]&gt;=8,"Excellent",Table1[[#This Row],[IMDB_Rating]]&gt;=7,"Good",Table1[[#This Row],[IMDB_Rating]]&lt;7,"Average")</f>
        <v>Good</v>
      </c>
    </row>
    <row r="239" spans="1:11" x14ac:dyDescent="0.35">
      <c r="A239" t="s">
        <v>1957</v>
      </c>
      <c r="B239">
        <v>2018</v>
      </c>
      <c r="C239">
        <v>102</v>
      </c>
      <c r="D239" t="s">
        <v>11</v>
      </c>
      <c r="E239">
        <v>7.6</v>
      </c>
      <c r="F239" t="s">
        <v>1958</v>
      </c>
      <c r="G239" t="s">
        <v>1959</v>
      </c>
      <c r="H239">
        <v>140840</v>
      </c>
      <c r="I239">
        <v>26020957</v>
      </c>
      <c r="J239">
        <v>71</v>
      </c>
      <c r="K239" t="str" cm="1">
        <f t="array" ref="K239">_xlfn.IFS(Table1[[#This Row],[IMDB_Rating]]&gt;=9,"Masterpiece",Table1[[#This Row],[IMDB_Rating]]&gt;=8,"Excellent",Table1[[#This Row],[IMDB_Rating]]&gt;=7,"Good",Table1[[#This Row],[IMDB_Rating]]&lt;7,"Average")</f>
        <v>Good</v>
      </c>
    </row>
    <row r="240" spans="1:11" x14ac:dyDescent="0.35">
      <c r="A240" t="s">
        <v>1900</v>
      </c>
      <c r="B240">
        <v>1973</v>
      </c>
      <c r="C240">
        <v>102</v>
      </c>
      <c r="D240" t="s">
        <v>19</v>
      </c>
      <c r="E240">
        <v>7.7</v>
      </c>
      <c r="F240" t="s">
        <v>1901</v>
      </c>
      <c r="G240" t="s">
        <v>1902</v>
      </c>
      <c r="H240">
        <v>96561</v>
      </c>
      <c r="I240">
        <v>25000000</v>
      </c>
      <c r="J240">
        <v>83</v>
      </c>
      <c r="K240" t="str" cm="1">
        <f t="array" ref="K240">_xlfn.IFS(Table1[[#This Row],[IMDB_Rating]]&gt;=9,"Masterpiece",Table1[[#This Row],[IMDB_Rating]]&gt;=8,"Excellent",Table1[[#This Row],[IMDB_Rating]]&gt;=7,"Good",Table1[[#This Row],[IMDB_Rating]]&lt;7,"Average")</f>
        <v>Good</v>
      </c>
    </row>
    <row r="241" spans="1:11" x14ac:dyDescent="0.35">
      <c r="A241" t="s">
        <v>1294</v>
      </c>
      <c r="B241">
        <v>1946</v>
      </c>
      <c r="C241">
        <v>102</v>
      </c>
      <c r="D241" t="s">
        <v>11</v>
      </c>
      <c r="E241">
        <v>7.9</v>
      </c>
      <c r="F241" t="s">
        <v>146</v>
      </c>
      <c r="G241" t="s">
        <v>306</v>
      </c>
      <c r="H241">
        <v>92306</v>
      </c>
      <c r="I241">
        <v>10464000</v>
      </c>
      <c r="J241">
        <v>100</v>
      </c>
      <c r="K241" t="str" cm="1">
        <f t="array" ref="K241">_xlfn.IFS(Table1[[#This Row],[IMDB_Rating]]&gt;=9,"Masterpiece",Table1[[#This Row],[IMDB_Rating]]&gt;=8,"Excellent",Table1[[#This Row],[IMDB_Rating]]&gt;=7,"Good",Table1[[#This Row],[IMDB_Rating]]&lt;7,"Average")</f>
        <v>Good</v>
      </c>
    </row>
    <row r="242" spans="1:11" x14ac:dyDescent="0.35">
      <c r="A242" t="s">
        <v>2131</v>
      </c>
      <c r="B242">
        <v>1993</v>
      </c>
      <c r="C242">
        <v>102</v>
      </c>
      <c r="D242" t="s">
        <v>67</v>
      </c>
      <c r="E242">
        <v>7.6</v>
      </c>
      <c r="F242" t="s">
        <v>594</v>
      </c>
      <c r="G242" t="s">
        <v>2132</v>
      </c>
      <c r="H242">
        <v>165465</v>
      </c>
      <c r="I242">
        <v>7993039</v>
      </c>
      <c r="J242">
        <v>78</v>
      </c>
      <c r="K242" t="str" cm="1">
        <f t="array" ref="K242">_xlfn.IFS(Table1[[#This Row],[IMDB_Rating]]&gt;=9,"Masterpiece",Table1[[#This Row],[IMDB_Rating]]&gt;=8,"Excellent",Table1[[#This Row],[IMDB_Rating]]&gt;=7,"Good",Table1[[#This Row],[IMDB_Rating]]&lt;7,"Average")</f>
        <v>Good</v>
      </c>
    </row>
    <row r="243" spans="1:11" x14ac:dyDescent="0.35">
      <c r="A243" t="s">
        <v>1299</v>
      </c>
      <c r="B243">
        <v>1938</v>
      </c>
      <c r="C243">
        <v>102</v>
      </c>
      <c r="D243" t="s">
        <v>19</v>
      </c>
      <c r="E243">
        <v>7.9</v>
      </c>
      <c r="F243" t="s">
        <v>149</v>
      </c>
      <c r="G243" t="s">
        <v>1300</v>
      </c>
      <c r="H243">
        <v>47175</v>
      </c>
      <c r="I243">
        <v>3981000</v>
      </c>
      <c r="J243">
        <v>97</v>
      </c>
      <c r="K243" t="str" cm="1">
        <f t="array" ref="K243">_xlfn.IFS(Table1[[#This Row],[IMDB_Rating]]&gt;=9,"Masterpiece",Table1[[#This Row],[IMDB_Rating]]&gt;=8,"Excellent",Table1[[#This Row],[IMDB_Rating]]&gt;=7,"Good",Table1[[#This Row],[IMDB_Rating]]&lt;7,"Average")</f>
        <v>Good</v>
      </c>
    </row>
    <row r="244" spans="1:11" x14ac:dyDescent="0.35">
      <c r="A244" t="s">
        <v>260</v>
      </c>
      <c r="B244">
        <v>2000</v>
      </c>
      <c r="C244">
        <v>102</v>
      </c>
      <c r="D244" t="s">
        <v>11</v>
      </c>
      <c r="E244">
        <v>8.3000000000000007</v>
      </c>
      <c r="F244" t="s">
        <v>261</v>
      </c>
      <c r="G244" t="s">
        <v>262</v>
      </c>
      <c r="H244">
        <v>766870</v>
      </c>
      <c r="I244">
        <v>3635482</v>
      </c>
      <c r="J244">
        <v>68</v>
      </c>
      <c r="K244" t="str" cm="1">
        <f t="array" ref="K244">_xlfn.IFS(Table1[[#This Row],[IMDB_Rating]]&gt;=9,"Masterpiece",Table1[[#This Row],[IMDB_Rating]]&gt;=8,"Excellent",Table1[[#This Row],[IMDB_Rating]]&gt;=7,"Good",Table1[[#This Row],[IMDB_Rating]]&lt;7,"Average")</f>
        <v>Excellent</v>
      </c>
    </row>
    <row r="245" spans="1:11" x14ac:dyDescent="0.35">
      <c r="A245" t="s">
        <v>1214</v>
      </c>
      <c r="B245">
        <v>1994</v>
      </c>
      <c r="C245">
        <v>102</v>
      </c>
      <c r="D245" t="s">
        <v>15</v>
      </c>
      <c r="E245">
        <v>7.9</v>
      </c>
      <c r="F245" t="s">
        <v>1215</v>
      </c>
      <c r="G245" t="s">
        <v>1216</v>
      </c>
      <c r="H245">
        <v>31590</v>
      </c>
      <c r="I245">
        <v>2201126</v>
      </c>
      <c r="J245">
        <v>77</v>
      </c>
      <c r="K245" t="str" cm="1">
        <f t="array" ref="K245">_xlfn.IFS(Table1[[#This Row],[IMDB_Rating]]&gt;=9,"Masterpiece",Table1[[#This Row],[IMDB_Rating]]&gt;=8,"Excellent",Table1[[#This Row],[IMDB_Rating]]&gt;=7,"Good",Table1[[#This Row],[IMDB_Rating]]&lt;7,"Average")</f>
        <v>Good</v>
      </c>
    </row>
    <row r="246" spans="1:11" x14ac:dyDescent="0.35">
      <c r="A246" t="s">
        <v>1071</v>
      </c>
      <c r="B246">
        <v>1939</v>
      </c>
      <c r="C246">
        <v>102</v>
      </c>
      <c r="D246" t="s">
        <v>74</v>
      </c>
      <c r="E246">
        <v>8</v>
      </c>
      <c r="F246" t="s">
        <v>755</v>
      </c>
      <c r="G246" t="s">
        <v>756</v>
      </c>
      <c r="H246">
        <v>371379</v>
      </c>
      <c r="I246">
        <v>2076020</v>
      </c>
      <c r="J246">
        <v>92</v>
      </c>
      <c r="K246" t="str" cm="1">
        <f t="array" ref="K246">_xlfn.IFS(Table1[[#This Row],[IMDB_Rating]]&gt;=9,"Masterpiece",Table1[[#This Row],[IMDB_Rating]]&gt;=8,"Excellent",Table1[[#This Row],[IMDB_Rating]]&gt;=7,"Good",Table1[[#This Row],[IMDB_Rating]]&lt;7,"Average")</f>
        <v>Excellent</v>
      </c>
    </row>
    <row r="247" spans="1:11" x14ac:dyDescent="0.35">
      <c r="A247" t="s">
        <v>148</v>
      </c>
      <c r="B247">
        <v>1942</v>
      </c>
      <c r="C247">
        <v>102</v>
      </c>
      <c r="D247" t="s">
        <v>11</v>
      </c>
      <c r="E247">
        <v>8.5</v>
      </c>
      <c r="F247" t="s">
        <v>149</v>
      </c>
      <c r="G247" t="s">
        <v>150</v>
      </c>
      <c r="H247">
        <v>522093</v>
      </c>
      <c r="I247">
        <v>1024560</v>
      </c>
      <c r="J247">
        <v>100</v>
      </c>
      <c r="K247" t="str" cm="1">
        <f t="array" ref="K2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248" spans="1:11" x14ac:dyDescent="0.35">
      <c r="A248" t="s">
        <v>639</v>
      </c>
      <c r="B248">
        <v>1994</v>
      </c>
      <c r="C248">
        <v>102</v>
      </c>
      <c r="D248" t="s">
        <v>67</v>
      </c>
      <c r="E248">
        <v>8.1</v>
      </c>
      <c r="F248" t="s">
        <v>622</v>
      </c>
      <c r="G248" t="s">
        <v>640</v>
      </c>
      <c r="H248">
        <v>63122</v>
      </c>
      <c r="I248">
        <v>600200</v>
      </c>
      <c r="J248">
        <v>77</v>
      </c>
      <c r="K248" t="str" cm="1">
        <f t="array" ref="K248">_xlfn.IFS(Table1[[#This Row],[IMDB_Rating]]&gt;=9,"Masterpiece",Table1[[#This Row],[IMDB_Rating]]&gt;=8,"Excellent",Table1[[#This Row],[IMDB_Rating]]&gt;=7,"Good",Table1[[#This Row],[IMDB_Rating]]&lt;7,"Average")</f>
        <v>Excellent</v>
      </c>
    </row>
    <row r="249" spans="1:11" x14ac:dyDescent="0.35">
      <c r="A249" t="s">
        <v>1253</v>
      </c>
      <c r="B249">
        <v>1972</v>
      </c>
      <c r="C249">
        <v>102</v>
      </c>
      <c r="D249" t="s">
        <v>67</v>
      </c>
      <c r="E249">
        <v>7.9</v>
      </c>
      <c r="F249" t="s">
        <v>711</v>
      </c>
      <c r="G249" t="s">
        <v>1254</v>
      </c>
      <c r="H249">
        <v>38737</v>
      </c>
      <c r="I249">
        <v>198809</v>
      </c>
      <c r="J249">
        <v>93</v>
      </c>
      <c r="K249" t="str" cm="1">
        <f t="array" ref="K249">_xlfn.IFS(Table1[[#This Row],[IMDB_Rating]]&gt;=9,"Masterpiece",Table1[[#This Row],[IMDB_Rating]]&gt;=8,"Excellent",Table1[[#This Row],[IMDB_Rating]]&gt;=7,"Good",Table1[[#This Row],[IMDB_Rating]]&lt;7,"Average")</f>
        <v>Good</v>
      </c>
    </row>
    <row r="250" spans="1:11" x14ac:dyDescent="0.35">
      <c r="A250" t="s">
        <v>388</v>
      </c>
      <c r="B250">
        <v>2010</v>
      </c>
      <c r="C250">
        <v>103</v>
      </c>
      <c r="D250" t="s">
        <v>80</v>
      </c>
      <c r="E250">
        <v>8.1999999999999993</v>
      </c>
      <c r="F250" t="s">
        <v>177</v>
      </c>
      <c r="G250" t="s">
        <v>45</v>
      </c>
      <c r="H250">
        <v>757032</v>
      </c>
      <c r="I250">
        <v>415004880</v>
      </c>
      <c r="J250">
        <v>92</v>
      </c>
      <c r="K250" t="str" cm="1">
        <f t="array" ref="K250">_xlfn.IFS(Table1[[#This Row],[IMDB_Rating]]&gt;=9,"Masterpiece",Table1[[#This Row],[IMDB_Rating]]&gt;=8,"Excellent",Table1[[#This Row],[IMDB_Rating]]&gt;=7,"Good",Table1[[#This Row],[IMDB_Rating]]&lt;7,"Average")</f>
        <v>Excellent</v>
      </c>
    </row>
    <row r="251" spans="1:11" x14ac:dyDescent="0.35">
      <c r="A251" t="s">
        <v>2140</v>
      </c>
      <c r="B251">
        <v>1990</v>
      </c>
      <c r="C251">
        <v>103</v>
      </c>
      <c r="D251" t="s">
        <v>67</v>
      </c>
      <c r="E251">
        <v>7.6</v>
      </c>
      <c r="F251" t="s">
        <v>2095</v>
      </c>
      <c r="G251" t="s">
        <v>2141</v>
      </c>
      <c r="H251">
        <v>488817</v>
      </c>
      <c r="I251">
        <v>285761243</v>
      </c>
      <c r="J251">
        <v>63</v>
      </c>
      <c r="K251" t="str" cm="1">
        <f t="array" ref="K251">_xlfn.IFS(Table1[[#This Row],[IMDB_Rating]]&gt;=9,"Masterpiece",Table1[[#This Row],[IMDB_Rating]]&gt;=8,"Excellent",Table1[[#This Row],[IMDB_Rating]]&gt;=7,"Good",Table1[[#This Row],[IMDB_Rating]]&lt;7,"Average")</f>
        <v>Good</v>
      </c>
    </row>
    <row r="252" spans="1:11" x14ac:dyDescent="0.35">
      <c r="A252" t="s">
        <v>616</v>
      </c>
      <c r="B252">
        <v>1998</v>
      </c>
      <c r="C252">
        <v>103</v>
      </c>
      <c r="D252" t="s">
        <v>67</v>
      </c>
      <c r="E252">
        <v>8.1</v>
      </c>
      <c r="F252" t="s">
        <v>617</v>
      </c>
      <c r="G252" t="s">
        <v>253</v>
      </c>
      <c r="H252">
        <v>939631</v>
      </c>
      <c r="I252">
        <v>125618201</v>
      </c>
      <c r="J252">
        <v>90</v>
      </c>
      <c r="K252" t="str" cm="1">
        <f t="array" ref="K252">_xlfn.IFS(Table1[[#This Row],[IMDB_Rating]]&gt;=9,"Masterpiece",Table1[[#This Row],[IMDB_Rating]]&gt;=8,"Excellent",Table1[[#This Row],[IMDB_Rating]]&gt;=7,"Good",Table1[[#This Row],[IMDB_Rating]]&lt;7,"Average")</f>
        <v>Excellent</v>
      </c>
    </row>
    <row r="253" spans="1:11" x14ac:dyDescent="0.35">
      <c r="A253" t="s">
        <v>1548</v>
      </c>
      <c r="B253">
        <v>1986</v>
      </c>
      <c r="C253">
        <v>103</v>
      </c>
      <c r="D253" t="s">
        <v>67</v>
      </c>
      <c r="E253">
        <v>7.8</v>
      </c>
      <c r="F253" t="s">
        <v>1549</v>
      </c>
      <c r="G253" t="s">
        <v>1539</v>
      </c>
      <c r="H253">
        <v>321382</v>
      </c>
      <c r="I253">
        <v>70136369</v>
      </c>
      <c r="J253">
        <v>61</v>
      </c>
      <c r="K253" t="str" cm="1">
        <f t="array" ref="K253">_xlfn.IFS(Table1[[#This Row],[IMDB_Rating]]&gt;=9,"Masterpiece",Table1[[#This Row],[IMDB_Rating]]&gt;=8,"Excellent",Table1[[#This Row],[IMDB_Rating]]&gt;=7,"Good",Table1[[#This Row],[IMDB_Rating]]&lt;7,"Average")</f>
        <v>Good</v>
      </c>
    </row>
    <row r="254" spans="1:11" x14ac:dyDescent="0.35">
      <c r="A254" t="s">
        <v>1536</v>
      </c>
      <c r="B254">
        <v>1989</v>
      </c>
      <c r="C254">
        <v>103</v>
      </c>
      <c r="D254" t="s">
        <v>80</v>
      </c>
      <c r="E254">
        <v>7.8</v>
      </c>
      <c r="F254" t="s">
        <v>81</v>
      </c>
      <c r="G254" t="s">
        <v>1537</v>
      </c>
      <c r="H254">
        <v>124193</v>
      </c>
      <c r="I254">
        <v>58564351</v>
      </c>
      <c r="J254">
        <v>83</v>
      </c>
      <c r="K254" t="str" cm="1">
        <f t="array" ref="K254">_xlfn.IFS(Table1[[#This Row],[IMDB_Rating]]&gt;=9,"Masterpiece",Table1[[#This Row],[IMDB_Rating]]&gt;=8,"Excellent",Table1[[#This Row],[IMDB_Rating]]&gt;=7,"Good",Table1[[#This Row],[IMDB_Rating]]&lt;7,"Average")</f>
        <v>Good</v>
      </c>
    </row>
    <row r="255" spans="1:11" x14ac:dyDescent="0.35">
      <c r="A255" t="s">
        <v>2065</v>
      </c>
      <c r="B255">
        <v>2004</v>
      </c>
      <c r="C255">
        <v>103</v>
      </c>
      <c r="D255" t="s">
        <v>145</v>
      </c>
      <c r="E255">
        <v>7.6</v>
      </c>
      <c r="F255" t="s">
        <v>2066</v>
      </c>
      <c r="G255" t="s">
        <v>974</v>
      </c>
      <c r="H255">
        <v>379020</v>
      </c>
      <c r="I255">
        <v>56000369</v>
      </c>
      <c r="J255">
        <v>46</v>
      </c>
      <c r="K255" t="str" cm="1">
        <f t="array" ref="K255">_xlfn.IFS(Table1[[#This Row],[IMDB_Rating]]&gt;=9,"Masterpiece",Table1[[#This Row],[IMDB_Rating]]&gt;=8,"Excellent",Table1[[#This Row],[IMDB_Rating]]&gt;=7,"Good",Table1[[#This Row],[IMDB_Rating]]&lt;7,"Average")</f>
        <v>Good</v>
      </c>
    </row>
    <row r="256" spans="1:11" x14ac:dyDescent="0.35">
      <c r="A256" t="s">
        <v>1328</v>
      </c>
      <c r="B256">
        <v>2017</v>
      </c>
      <c r="C256">
        <v>103</v>
      </c>
      <c r="D256" t="s">
        <v>74</v>
      </c>
      <c r="E256">
        <v>7.8</v>
      </c>
      <c r="F256" t="s">
        <v>1329</v>
      </c>
      <c r="G256" t="s">
        <v>1330</v>
      </c>
      <c r="H256">
        <v>61594</v>
      </c>
      <c r="I256">
        <v>40442052</v>
      </c>
      <c r="J256">
        <v>88</v>
      </c>
      <c r="K256" t="str" cm="1">
        <f t="array" ref="K256">_xlfn.IFS(Table1[[#This Row],[IMDB_Rating]]&gt;=9,"Masterpiece",Table1[[#This Row],[IMDB_Rating]]&gt;=8,"Excellent",Table1[[#This Row],[IMDB_Rating]]&gt;=7,"Good",Table1[[#This Row],[IMDB_Rating]]&lt;7,"Average")</f>
        <v>Good</v>
      </c>
    </row>
    <row r="257" spans="1:11" x14ac:dyDescent="0.35">
      <c r="A257" t="s">
        <v>821</v>
      </c>
      <c r="B257">
        <v>2012</v>
      </c>
      <c r="C257">
        <v>103</v>
      </c>
      <c r="D257" t="s">
        <v>11</v>
      </c>
      <c r="E257">
        <v>8</v>
      </c>
      <c r="F257" t="s">
        <v>799</v>
      </c>
      <c r="G257" t="s">
        <v>822</v>
      </c>
      <c r="H257">
        <v>462252</v>
      </c>
      <c r="I257">
        <v>17738570</v>
      </c>
      <c r="J257">
        <v>67</v>
      </c>
      <c r="K257" t="str" cm="1">
        <f t="array" ref="K257">_xlfn.IFS(Table1[[#This Row],[IMDB_Rating]]&gt;=9,"Masterpiece",Table1[[#This Row],[IMDB_Rating]]&gt;=8,"Excellent",Table1[[#This Row],[IMDB_Rating]]&gt;=7,"Good",Table1[[#This Row],[IMDB_Rating]]&lt;7,"Average")</f>
        <v>Excellent</v>
      </c>
    </row>
    <row r="258" spans="1:11" x14ac:dyDescent="0.35">
      <c r="A258" t="s">
        <v>1227</v>
      </c>
      <c r="B258">
        <v>1989</v>
      </c>
      <c r="C258">
        <v>103</v>
      </c>
      <c r="D258" t="s">
        <v>34</v>
      </c>
      <c r="E258">
        <v>7.9</v>
      </c>
      <c r="F258" t="s">
        <v>644</v>
      </c>
      <c r="G258" t="s">
        <v>384</v>
      </c>
      <c r="H258">
        <v>68076</v>
      </c>
      <c r="I258">
        <v>14743391</v>
      </c>
      <c r="J258">
        <v>97</v>
      </c>
      <c r="K258" t="str" cm="1">
        <f t="array" ref="K258">_xlfn.IFS(Table1[[#This Row],[IMDB_Rating]]&gt;=9,"Masterpiece",Table1[[#This Row],[IMDB_Rating]]&gt;=8,"Excellent",Table1[[#This Row],[IMDB_Rating]]&gt;=7,"Good",Table1[[#This Row],[IMDB_Rating]]&lt;7,"Average")</f>
        <v>Good</v>
      </c>
    </row>
    <row r="259" spans="1:11" x14ac:dyDescent="0.35">
      <c r="A259" t="s">
        <v>308</v>
      </c>
      <c r="B259">
        <v>1952</v>
      </c>
      <c r="C259">
        <v>103</v>
      </c>
      <c r="D259" t="s">
        <v>67</v>
      </c>
      <c r="E259">
        <v>8.3000000000000007</v>
      </c>
      <c r="F259" t="s">
        <v>309</v>
      </c>
      <c r="G259" t="s">
        <v>310</v>
      </c>
      <c r="H259">
        <v>218957</v>
      </c>
      <c r="I259">
        <v>8819028</v>
      </c>
      <c r="J259">
        <v>99</v>
      </c>
      <c r="K259" t="str" cm="1">
        <f t="array" ref="K259">_xlfn.IFS(Table1[[#This Row],[IMDB_Rating]]&gt;=9,"Masterpiece",Table1[[#This Row],[IMDB_Rating]]&gt;=8,"Excellent",Table1[[#This Row],[IMDB_Rating]]&gt;=7,"Good",Table1[[#This Row],[IMDB_Rating]]&lt;7,"Average")</f>
        <v>Excellent</v>
      </c>
    </row>
    <row r="260" spans="1:11" x14ac:dyDescent="0.35">
      <c r="A260" t="s">
        <v>887</v>
      </c>
      <c r="B260">
        <v>2003</v>
      </c>
      <c r="C260">
        <v>103</v>
      </c>
      <c r="D260" t="s">
        <v>11</v>
      </c>
      <c r="E260">
        <v>8</v>
      </c>
      <c r="F260" t="s">
        <v>867</v>
      </c>
      <c r="G260" t="s">
        <v>867</v>
      </c>
      <c r="H260">
        <v>77520</v>
      </c>
      <c r="I260">
        <v>2380788</v>
      </c>
      <c r="J260">
        <v>85</v>
      </c>
      <c r="K260" t="str" cm="1">
        <f t="array" ref="K2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261" spans="1:11" x14ac:dyDescent="0.35">
      <c r="A261" t="s">
        <v>1653</v>
      </c>
      <c r="B261">
        <v>2014</v>
      </c>
      <c r="C261">
        <v>103</v>
      </c>
      <c r="D261" t="s">
        <v>80</v>
      </c>
      <c r="E261">
        <v>7.7</v>
      </c>
      <c r="F261" t="s">
        <v>1654</v>
      </c>
      <c r="G261" t="s">
        <v>1655</v>
      </c>
      <c r="H261">
        <v>32798</v>
      </c>
      <c r="I261">
        <v>765127</v>
      </c>
      <c r="J261">
        <v>72</v>
      </c>
      <c r="K261" t="str" cm="1">
        <f t="array" ref="K261">_xlfn.IFS(Table1[[#This Row],[IMDB_Rating]]&gt;=9,"Masterpiece",Table1[[#This Row],[IMDB_Rating]]&gt;=8,"Excellent",Table1[[#This Row],[IMDB_Rating]]&gt;=7,"Good",Table1[[#This Row],[IMDB_Rating]]&lt;7,"Average")</f>
        <v>Good</v>
      </c>
    </row>
    <row r="262" spans="1:11" x14ac:dyDescent="0.35">
      <c r="A262" t="s">
        <v>1497</v>
      </c>
      <c r="B262">
        <v>1997</v>
      </c>
      <c r="C262">
        <v>103</v>
      </c>
      <c r="D262" t="s">
        <v>15</v>
      </c>
      <c r="E262">
        <v>7.8</v>
      </c>
      <c r="F262" t="s">
        <v>1498</v>
      </c>
      <c r="G262" t="s">
        <v>1498</v>
      </c>
      <c r="H262">
        <v>27712</v>
      </c>
      <c r="I262">
        <v>233986</v>
      </c>
      <c r="K262" t="str" cm="1">
        <f t="array" ref="K262">_xlfn.IFS(Table1[[#This Row],[IMDB_Rating]]&gt;=9,"Masterpiece",Table1[[#This Row],[IMDB_Rating]]&gt;=8,"Excellent",Table1[[#This Row],[IMDB_Rating]]&gt;=7,"Good",Table1[[#This Row],[IMDB_Rating]]&lt;7,"Average")</f>
        <v>Good</v>
      </c>
    </row>
    <row r="263" spans="1:11" x14ac:dyDescent="0.35">
      <c r="A263" t="s">
        <v>1793</v>
      </c>
      <c r="B263">
        <v>2000</v>
      </c>
      <c r="C263">
        <v>103</v>
      </c>
      <c r="D263" t="s">
        <v>80</v>
      </c>
      <c r="E263">
        <v>7.7</v>
      </c>
      <c r="F263" t="s">
        <v>1223</v>
      </c>
      <c r="G263" t="s">
        <v>1794</v>
      </c>
      <c r="H263">
        <v>29210</v>
      </c>
      <c r="I263">
        <v>151086</v>
      </c>
      <c r="J263">
        <v>62</v>
      </c>
      <c r="K263" t="str" cm="1">
        <f t="array" ref="K263">_xlfn.IFS(Table1[[#This Row],[IMDB_Rating]]&gt;=9,"Masterpiece",Table1[[#This Row],[IMDB_Rating]]&gt;=8,"Excellent",Table1[[#This Row],[IMDB_Rating]]&gt;=7,"Good",Table1[[#This Row],[IMDB_Rating]]&lt;7,"Average")</f>
        <v>Good</v>
      </c>
    </row>
    <row r="264" spans="1:11" x14ac:dyDescent="0.35">
      <c r="A264" t="s">
        <v>1289</v>
      </c>
      <c r="B264">
        <v>1950</v>
      </c>
      <c r="C264">
        <v>104</v>
      </c>
      <c r="D264" t="s">
        <v>67</v>
      </c>
      <c r="E264">
        <v>7.9</v>
      </c>
      <c r="F264" t="s">
        <v>1290</v>
      </c>
      <c r="G264" t="s">
        <v>102</v>
      </c>
      <c r="H264">
        <v>52573</v>
      </c>
      <c r="I264">
        <v>886752933</v>
      </c>
      <c r="K264" t="str" cm="1">
        <f t="array" ref="K264">_xlfn.IFS(Table1[[#This Row],[IMDB_Rating]]&gt;=9,"Masterpiece",Table1[[#This Row],[IMDB_Rating]]&gt;=8,"Excellent",Table1[[#This Row],[IMDB_Rating]]&gt;=7,"Good",Table1[[#This Row],[IMDB_Rating]]&lt;7,"Average")</f>
        <v>Good</v>
      </c>
    </row>
    <row r="265" spans="1:11" x14ac:dyDescent="0.35">
      <c r="A265" t="s">
        <v>226</v>
      </c>
      <c r="B265">
        <v>2018</v>
      </c>
      <c r="C265">
        <v>104</v>
      </c>
      <c r="D265" t="s">
        <v>11</v>
      </c>
      <c r="E265">
        <v>8.3000000000000007</v>
      </c>
      <c r="F265" t="s">
        <v>227</v>
      </c>
      <c r="G265" t="s">
        <v>228</v>
      </c>
      <c r="H265">
        <v>27793</v>
      </c>
      <c r="I265">
        <v>755669279</v>
      </c>
      <c r="K265" t="str" cm="1">
        <f t="array" ref="K265">_xlfn.IFS(Table1[[#This Row],[IMDB_Rating]]&gt;=9,"Masterpiece",Table1[[#This Row],[IMDB_Rating]]&gt;=8,"Excellent",Table1[[#This Row],[IMDB_Rating]]&gt;=7,"Good",Table1[[#This Row],[IMDB_Rating]]&lt;7,"Average")</f>
        <v>Excellent</v>
      </c>
    </row>
    <row r="266" spans="1:11" x14ac:dyDescent="0.35">
      <c r="A266" t="s">
        <v>1894</v>
      </c>
      <c r="B266">
        <v>1974</v>
      </c>
      <c r="C266">
        <v>104</v>
      </c>
      <c r="D266" t="s">
        <v>19</v>
      </c>
      <c r="E266">
        <v>7.7</v>
      </c>
      <c r="F266" t="s">
        <v>1895</v>
      </c>
      <c r="G266" t="s">
        <v>1896</v>
      </c>
      <c r="H266">
        <v>26729</v>
      </c>
      <c r="I266">
        <v>660264543</v>
      </c>
      <c r="J266">
        <v>68</v>
      </c>
      <c r="K266" t="str" cm="1">
        <f t="array" ref="K266">_xlfn.IFS(Table1[[#This Row],[IMDB_Rating]]&gt;=9,"Masterpiece",Table1[[#This Row],[IMDB_Rating]]&gt;=8,"Excellent",Table1[[#This Row],[IMDB_Rating]]&gt;=7,"Good",Table1[[#This Row],[IMDB_Rating]]&lt;7,"Average")</f>
        <v>Good</v>
      </c>
    </row>
    <row r="267" spans="1:11" x14ac:dyDescent="0.35">
      <c r="A267" t="s">
        <v>558</v>
      </c>
      <c r="B267">
        <v>2008</v>
      </c>
      <c r="C267">
        <v>104</v>
      </c>
      <c r="D267" t="s">
        <v>19</v>
      </c>
      <c r="E267">
        <v>8.1</v>
      </c>
      <c r="F267" t="s">
        <v>559</v>
      </c>
      <c r="G267" t="s">
        <v>560</v>
      </c>
      <c r="H267">
        <v>73891</v>
      </c>
      <c r="I267">
        <v>573329738</v>
      </c>
      <c r="K267" t="str" cm="1">
        <f t="array" ref="K267">_xlfn.IFS(Table1[[#This Row],[IMDB_Rating]]&gt;=9,"Masterpiece",Table1[[#This Row],[IMDB_Rating]]&gt;=8,"Excellent",Table1[[#This Row],[IMDB_Rating]]&gt;=7,"Good",Table1[[#This Row],[IMDB_Rating]]&lt;7,"Average")</f>
        <v>Excellent</v>
      </c>
    </row>
    <row r="268" spans="1:11" x14ac:dyDescent="0.35">
      <c r="A268" t="s">
        <v>1643</v>
      </c>
      <c r="B268">
        <v>2017</v>
      </c>
      <c r="C268">
        <v>104</v>
      </c>
      <c r="D268" t="s">
        <v>145</v>
      </c>
      <c r="E268">
        <v>7.7</v>
      </c>
      <c r="F268" t="s">
        <v>1644</v>
      </c>
      <c r="G268" t="s">
        <v>1645</v>
      </c>
      <c r="H268">
        <v>492851</v>
      </c>
      <c r="I268">
        <v>176040665</v>
      </c>
      <c r="J268">
        <v>85</v>
      </c>
      <c r="K268" t="str" cm="1">
        <f t="array" ref="K268">_xlfn.IFS(Table1[[#This Row],[IMDB_Rating]]&gt;=9,"Masterpiece",Table1[[#This Row],[IMDB_Rating]]&gt;=8,"Excellent",Table1[[#This Row],[IMDB_Rating]]&gt;=7,"Good",Table1[[#This Row],[IMDB_Rating]]&lt;7,"Average")</f>
        <v>Good</v>
      </c>
    </row>
    <row r="269" spans="1:11" x14ac:dyDescent="0.35">
      <c r="A269" t="s">
        <v>1857</v>
      </c>
      <c r="B269">
        <v>1988</v>
      </c>
      <c r="C269">
        <v>104</v>
      </c>
      <c r="D269" t="s">
        <v>80</v>
      </c>
      <c r="E269">
        <v>7.7</v>
      </c>
      <c r="F269" t="s">
        <v>44</v>
      </c>
      <c r="G269" t="s">
        <v>1858</v>
      </c>
      <c r="H269">
        <v>182009</v>
      </c>
      <c r="I269">
        <v>156452370</v>
      </c>
      <c r="J269">
        <v>83</v>
      </c>
      <c r="K269" t="str" cm="1">
        <f t="array" ref="K269">_xlfn.IFS(Table1[[#This Row],[IMDB_Rating]]&gt;=9,"Masterpiece",Table1[[#This Row],[IMDB_Rating]]&gt;=8,"Excellent",Table1[[#This Row],[IMDB_Rating]]&gt;=7,"Good",Table1[[#This Row],[IMDB_Rating]]&lt;7,"Average")</f>
        <v>Good</v>
      </c>
    </row>
    <row r="270" spans="1:11" x14ac:dyDescent="0.35">
      <c r="A270" t="s">
        <v>257</v>
      </c>
      <c r="B270">
        <v>2000</v>
      </c>
      <c r="C270">
        <v>104</v>
      </c>
      <c r="D270" t="s">
        <v>67</v>
      </c>
      <c r="E270">
        <v>8.3000000000000007</v>
      </c>
      <c r="F270" t="s">
        <v>258</v>
      </c>
      <c r="G270" t="s">
        <v>259</v>
      </c>
      <c r="H270">
        <v>782001</v>
      </c>
      <c r="I270">
        <v>30328156</v>
      </c>
      <c r="J270">
        <v>55</v>
      </c>
      <c r="K270" t="str" cm="1">
        <f t="array" ref="K270">_xlfn.IFS(Table1[[#This Row],[IMDB_Rating]]&gt;=9,"Masterpiece",Table1[[#This Row],[IMDB_Rating]]&gt;=8,"Excellent",Table1[[#This Row],[IMDB_Rating]]&gt;=7,"Good",Table1[[#This Row],[IMDB_Rating]]&lt;7,"Average")</f>
        <v>Excellent</v>
      </c>
    </row>
    <row r="271" spans="1:11" x14ac:dyDescent="0.35">
      <c r="A271" t="s">
        <v>2052</v>
      </c>
      <c r="B271">
        <v>2006</v>
      </c>
      <c r="C271">
        <v>104</v>
      </c>
      <c r="D271" t="s">
        <v>19</v>
      </c>
      <c r="E271">
        <v>7.6</v>
      </c>
      <c r="F271" t="s">
        <v>2053</v>
      </c>
      <c r="G271" t="s">
        <v>1186</v>
      </c>
      <c r="H271">
        <v>72863</v>
      </c>
      <c r="I271">
        <v>24633730</v>
      </c>
      <c r="J271">
        <v>70</v>
      </c>
      <c r="K271" t="str" cm="1">
        <f t="array" ref="K271">_xlfn.IFS(Table1[[#This Row],[IMDB_Rating]]&gt;=9,"Masterpiece",Table1[[#This Row],[IMDB_Rating]]&gt;=8,"Excellent",Table1[[#This Row],[IMDB_Rating]]&gt;=7,"Good",Table1[[#This Row],[IMDB_Rating]]&lt;7,"Average")</f>
        <v>Good</v>
      </c>
    </row>
    <row r="272" spans="1:11" x14ac:dyDescent="0.35">
      <c r="A272" t="s">
        <v>1228</v>
      </c>
      <c r="B272">
        <v>1989</v>
      </c>
      <c r="C272">
        <v>104</v>
      </c>
      <c r="D272" t="s">
        <v>67</v>
      </c>
      <c r="E272">
        <v>7.9</v>
      </c>
      <c r="F272" t="s">
        <v>989</v>
      </c>
      <c r="G272" t="s">
        <v>1229</v>
      </c>
      <c r="H272">
        <v>54670</v>
      </c>
      <c r="I272">
        <v>18254702</v>
      </c>
      <c r="J272">
        <v>77</v>
      </c>
      <c r="K272" t="str" cm="1">
        <f t="array" ref="K272">_xlfn.IFS(Table1[[#This Row],[IMDB_Rating]]&gt;=9,"Masterpiece",Table1[[#This Row],[IMDB_Rating]]&gt;=8,"Excellent",Table1[[#This Row],[IMDB_Rating]]&gt;=7,"Good",Table1[[#This Row],[IMDB_Rating]]&lt;7,"Average")</f>
        <v>Good</v>
      </c>
    </row>
    <row r="273" spans="1:11" x14ac:dyDescent="0.35">
      <c r="A273" t="s">
        <v>1906</v>
      </c>
      <c r="B273">
        <v>1971</v>
      </c>
      <c r="C273">
        <v>104</v>
      </c>
      <c r="D273" t="s">
        <v>19</v>
      </c>
      <c r="E273">
        <v>7.7</v>
      </c>
      <c r="F273" t="s">
        <v>999</v>
      </c>
      <c r="G273" t="s">
        <v>1543</v>
      </c>
      <c r="H273">
        <v>110075</v>
      </c>
      <c r="I273">
        <v>15630710</v>
      </c>
      <c r="J273">
        <v>94</v>
      </c>
      <c r="K273" t="str" cm="1">
        <f t="array" ref="K273">_xlfn.IFS(Table1[[#This Row],[IMDB_Rating]]&gt;=9,"Masterpiece",Table1[[#This Row],[IMDB_Rating]]&gt;=8,"Excellent",Table1[[#This Row],[IMDB_Rating]]&gt;=7,"Good",Table1[[#This Row],[IMDB_Rating]]&lt;7,"Average")</f>
        <v>Good</v>
      </c>
    </row>
    <row r="274" spans="1:11" x14ac:dyDescent="0.35">
      <c r="A274" t="s">
        <v>2038</v>
      </c>
      <c r="B274">
        <v>2007</v>
      </c>
      <c r="C274">
        <v>104</v>
      </c>
      <c r="D274" t="s">
        <v>11</v>
      </c>
      <c r="E274">
        <v>7.6</v>
      </c>
      <c r="F274" t="s">
        <v>544</v>
      </c>
      <c r="G274" t="s">
        <v>2039</v>
      </c>
      <c r="H274">
        <v>41544</v>
      </c>
      <c r="I274">
        <v>9422422</v>
      </c>
      <c r="J274">
        <v>79</v>
      </c>
      <c r="K274" t="str" cm="1">
        <f t="array" ref="K274">_xlfn.IFS(Table1[[#This Row],[IMDB_Rating]]&gt;=9,"Masterpiece",Table1[[#This Row],[IMDB_Rating]]&gt;=8,"Excellent",Table1[[#This Row],[IMDB_Rating]]&gt;=7,"Good",Table1[[#This Row],[IMDB_Rating]]&lt;7,"Average")</f>
        <v>Good</v>
      </c>
    </row>
    <row r="275" spans="1:11" x14ac:dyDescent="0.35">
      <c r="A275" t="s">
        <v>976</v>
      </c>
      <c r="B275">
        <v>1987</v>
      </c>
      <c r="C275">
        <v>104</v>
      </c>
      <c r="D275" t="s">
        <v>11</v>
      </c>
      <c r="E275">
        <v>8</v>
      </c>
      <c r="F275" t="s">
        <v>977</v>
      </c>
      <c r="G275" t="s">
        <v>978</v>
      </c>
      <c r="H275">
        <v>31163</v>
      </c>
      <c r="I275">
        <v>4542825</v>
      </c>
      <c r="J275">
        <v>88</v>
      </c>
      <c r="K275" t="str" cm="1">
        <f t="array" ref="K275">_xlfn.IFS(Table1[[#This Row],[IMDB_Rating]]&gt;=9,"Masterpiece",Table1[[#This Row],[IMDB_Rating]]&gt;=8,"Excellent",Table1[[#This Row],[IMDB_Rating]]&gt;=7,"Good",Table1[[#This Row],[IMDB_Rating]]&lt;7,"Average")</f>
        <v>Excellent</v>
      </c>
    </row>
    <row r="276" spans="1:11" x14ac:dyDescent="0.35">
      <c r="A276" t="s">
        <v>1363</v>
      </c>
      <c r="B276">
        <v>2013</v>
      </c>
      <c r="C276">
        <v>104</v>
      </c>
      <c r="D276" t="s">
        <v>11</v>
      </c>
      <c r="E276">
        <v>7.8</v>
      </c>
      <c r="F276" t="s">
        <v>1364</v>
      </c>
      <c r="G276" t="s">
        <v>342</v>
      </c>
      <c r="H276">
        <v>50523</v>
      </c>
      <c r="I276">
        <v>4231500</v>
      </c>
      <c r="J276">
        <v>76</v>
      </c>
      <c r="K276" t="str" cm="1">
        <f t="array" ref="K276">_xlfn.IFS(Table1[[#This Row],[IMDB_Rating]]&gt;=9,"Masterpiece",Table1[[#This Row],[IMDB_Rating]]&gt;=8,"Excellent",Table1[[#This Row],[IMDB_Rating]]&gt;=7,"Good",Table1[[#This Row],[IMDB_Rating]]&lt;7,"Average")</f>
        <v>Good</v>
      </c>
    </row>
    <row r="277" spans="1:11" x14ac:dyDescent="0.35">
      <c r="A277" t="s">
        <v>743</v>
      </c>
      <c r="B277">
        <v>1949</v>
      </c>
      <c r="C277">
        <v>104</v>
      </c>
      <c r="D277" t="s">
        <v>744</v>
      </c>
      <c r="E277">
        <v>8.1</v>
      </c>
      <c r="F277" t="s">
        <v>745</v>
      </c>
      <c r="G277" t="s">
        <v>319</v>
      </c>
      <c r="H277">
        <v>158731</v>
      </c>
      <c r="I277">
        <v>449191</v>
      </c>
      <c r="J277">
        <v>97</v>
      </c>
      <c r="K277" t="str" cm="1">
        <f t="array" ref="K277">_xlfn.IFS(Table1[[#This Row],[IMDB_Rating]]&gt;=9,"Masterpiece",Table1[[#This Row],[IMDB_Rating]]&gt;=8,"Excellent",Table1[[#This Row],[IMDB_Rating]]&gt;=7,"Good",Table1[[#This Row],[IMDB_Rating]]&lt;7,"Average")</f>
        <v>Excellent</v>
      </c>
    </row>
    <row r="278" spans="1:11" x14ac:dyDescent="0.35">
      <c r="A278" t="s">
        <v>1635</v>
      </c>
      <c r="B278">
        <v>2017</v>
      </c>
      <c r="C278">
        <v>104</v>
      </c>
      <c r="D278" t="s">
        <v>11</v>
      </c>
      <c r="E278">
        <v>7.7</v>
      </c>
      <c r="F278" t="s">
        <v>1636</v>
      </c>
      <c r="G278" t="s">
        <v>1637</v>
      </c>
      <c r="H278">
        <v>25198</v>
      </c>
      <c r="I278">
        <v>335609</v>
      </c>
      <c r="J278">
        <v>85</v>
      </c>
      <c r="K278" t="str" cm="1">
        <f t="array" ref="K278">_xlfn.IFS(Table1[[#This Row],[IMDB_Rating]]&gt;=9,"Masterpiece",Table1[[#This Row],[IMDB_Rating]]&gt;=8,"Excellent",Table1[[#This Row],[IMDB_Rating]]&gt;=7,"Good",Table1[[#This Row],[IMDB_Rating]]&lt;7,"Average")</f>
        <v>Good</v>
      </c>
    </row>
    <row r="279" spans="1:11" x14ac:dyDescent="0.35">
      <c r="A279" t="s">
        <v>1605</v>
      </c>
      <c r="B279">
        <v>1962</v>
      </c>
      <c r="C279">
        <v>105</v>
      </c>
      <c r="D279" t="s">
        <v>11</v>
      </c>
      <c r="E279">
        <v>7.8</v>
      </c>
      <c r="F279" t="s">
        <v>723</v>
      </c>
      <c r="G279" t="s">
        <v>1606</v>
      </c>
      <c r="H279">
        <v>37605</v>
      </c>
      <c r="I279">
        <v>819571597</v>
      </c>
      <c r="J279">
        <v>97</v>
      </c>
      <c r="K279" t="str" cm="1">
        <f t="array" ref="K279">_xlfn.IFS(Table1[[#This Row],[IMDB_Rating]]&gt;=9,"Masterpiece",Table1[[#This Row],[IMDB_Rating]]&gt;=8,"Excellent",Table1[[#This Row],[IMDB_Rating]]&gt;=7,"Good",Table1[[#This Row],[IMDB_Rating]]&lt;7,"Average")</f>
        <v>Good</v>
      </c>
    </row>
    <row r="280" spans="1:11" x14ac:dyDescent="0.35">
      <c r="A280" t="s">
        <v>1920</v>
      </c>
      <c r="B280">
        <v>1965</v>
      </c>
      <c r="C280">
        <v>105</v>
      </c>
      <c r="D280" t="s">
        <v>11</v>
      </c>
      <c r="E280">
        <v>7.7</v>
      </c>
      <c r="F280" t="s">
        <v>115</v>
      </c>
      <c r="G280" t="s">
        <v>1917</v>
      </c>
      <c r="H280">
        <v>48883</v>
      </c>
      <c r="I280">
        <v>440704699</v>
      </c>
      <c r="J280">
        <v>91</v>
      </c>
      <c r="K280" t="str" cm="1">
        <f t="array" ref="K280">_xlfn.IFS(Table1[[#This Row],[IMDB_Rating]]&gt;=9,"Masterpiece",Table1[[#This Row],[IMDB_Rating]]&gt;=8,"Excellent",Table1[[#This Row],[IMDB_Rating]]&gt;=7,"Good",Table1[[#This Row],[IMDB_Rating]]&lt;7,"Average")</f>
        <v>Good</v>
      </c>
    </row>
    <row r="281" spans="1:11" x14ac:dyDescent="0.35">
      <c r="A281" t="s">
        <v>1562</v>
      </c>
      <c r="B281">
        <v>1984</v>
      </c>
      <c r="C281">
        <v>105</v>
      </c>
      <c r="D281" t="s">
        <v>19</v>
      </c>
      <c r="E281">
        <v>7.8</v>
      </c>
      <c r="F281" t="s">
        <v>1563</v>
      </c>
      <c r="G281" t="s">
        <v>949</v>
      </c>
      <c r="H281">
        <v>355413</v>
      </c>
      <c r="I281">
        <v>238632124</v>
      </c>
      <c r="J281">
        <v>71</v>
      </c>
      <c r="K281" t="str" cm="1">
        <f t="array" ref="K281">_xlfn.IFS(Table1[[#This Row],[IMDB_Rating]]&gt;=9,"Masterpiece",Table1[[#This Row],[IMDB_Rating]]&gt;=8,"Excellent",Table1[[#This Row],[IMDB_Rating]]&gt;=7,"Good",Table1[[#This Row],[IMDB_Rating]]&lt;7,"Average")</f>
        <v>Good</v>
      </c>
    </row>
    <row r="282" spans="1:11" x14ac:dyDescent="0.35">
      <c r="A282" t="s">
        <v>176</v>
      </c>
      <c r="B282">
        <v>2017</v>
      </c>
      <c r="C282">
        <v>105</v>
      </c>
      <c r="D282" t="s">
        <v>80</v>
      </c>
      <c r="E282">
        <v>8.4</v>
      </c>
      <c r="F282" t="s">
        <v>177</v>
      </c>
      <c r="G282" t="s">
        <v>178</v>
      </c>
      <c r="H282">
        <v>384171</v>
      </c>
      <c r="I282">
        <v>209726015</v>
      </c>
      <c r="J282">
        <v>81</v>
      </c>
      <c r="K282" t="str" cm="1">
        <f t="array" ref="K282">_xlfn.IFS(Table1[[#This Row],[IMDB_Rating]]&gt;=9,"Masterpiece",Table1[[#This Row],[IMDB_Rating]]&gt;=8,"Excellent",Table1[[#This Row],[IMDB_Rating]]&gt;=7,"Good",Table1[[#This Row],[IMDB_Rating]]&lt;7,"Average")</f>
        <v>Excellent</v>
      </c>
    </row>
    <row r="283" spans="1:11" x14ac:dyDescent="0.35">
      <c r="A283" t="s">
        <v>1571</v>
      </c>
      <c r="B283">
        <v>1979</v>
      </c>
      <c r="C283">
        <v>105</v>
      </c>
      <c r="D283" t="s">
        <v>11</v>
      </c>
      <c r="E283">
        <v>7.8</v>
      </c>
      <c r="F283" t="s">
        <v>1572</v>
      </c>
      <c r="G283" t="s">
        <v>969</v>
      </c>
      <c r="H283">
        <v>133351</v>
      </c>
      <c r="I283">
        <v>106260000</v>
      </c>
      <c r="J283">
        <v>77</v>
      </c>
      <c r="K283" t="str" cm="1">
        <f t="array" ref="K283">_xlfn.IFS(Table1[[#This Row],[IMDB_Rating]]&gt;=9,"Masterpiece",Table1[[#This Row],[IMDB_Rating]]&gt;=8,"Excellent",Table1[[#This Row],[IMDB_Rating]]&gt;=7,"Good",Table1[[#This Row],[IMDB_Rating]]&lt;7,"Average")</f>
        <v>Good</v>
      </c>
    </row>
    <row r="284" spans="1:11" x14ac:dyDescent="0.35">
      <c r="A284" t="s">
        <v>1226</v>
      </c>
      <c r="B284">
        <v>1990</v>
      </c>
      <c r="C284">
        <v>105</v>
      </c>
      <c r="D284" t="s">
        <v>11</v>
      </c>
      <c r="E284">
        <v>7.9</v>
      </c>
      <c r="F284" t="s">
        <v>902</v>
      </c>
      <c r="G284" t="s">
        <v>900</v>
      </c>
      <c r="H284">
        <v>447368</v>
      </c>
      <c r="I284">
        <v>56362352</v>
      </c>
      <c r="J284">
        <v>74</v>
      </c>
      <c r="K284" t="str" cm="1">
        <f t="array" ref="K284">_xlfn.IFS(Table1[[#This Row],[IMDB_Rating]]&gt;=9,"Masterpiece",Table1[[#This Row],[IMDB_Rating]]&gt;=8,"Excellent",Table1[[#This Row],[IMDB_Rating]]&gt;=7,"Good",Table1[[#This Row],[IMDB_Rating]]&lt;7,"Average")</f>
        <v>Good</v>
      </c>
    </row>
    <row r="285" spans="1:11" x14ac:dyDescent="0.35">
      <c r="A285" t="s">
        <v>1912</v>
      </c>
      <c r="B285">
        <v>1968</v>
      </c>
      <c r="C285">
        <v>105</v>
      </c>
      <c r="D285" t="s">
        <v>67</v>
      </c>
      <c r="E285">
        <v>7.7</v>
      </c>
      <c r="F285" t="s">
        <v>1913</v>
      </c>
      <c r="G285" t="s">
        <v>304</v>
      </c>
      <c r="H285">
        <v>31572</v>
      </c>
      <c r="I285">
        <v>44527234</v>
      </c>
      <c r="J285">
        <v>86</v>
      </c>
      <c r="K285" t="str" cm="1">
        <f t="array" ref="K285">_xlfn.IFS(Table1[[#This Row],[IMDB_Rating]]&gt;=9,"Masterpiece",Table1[[#This Row],[IMDB_Rating]]&gt;=8,"Excellent",Table1[[#This Row],[IMDB_Rating]]&gt;=7,"Good",Table1[[#This Row],[IMDB_Rating]]&lt;7,"Average")</f>
        <v>Good</v>
      </c>
    </row>
    <row r="286" spans="1:11" x14ac:dyDescent="0.35">
      <c r="A286" t="s">
        <v>1822</v>
      </c>
      <c r="B286">
        <v>1996</v>
      </c>
      <c r="C286">
        <v>105</v>
      </c>
      <c r="D286" t="s">
        <v>34</v>
      </c>
      <c r="E286">
        <v>7.7</v>
      </c>
      <c r="F286" t="s">
        <v>1823</v>
      </c>
      <c r="G286" t="s">
        <v>1380</v>
      </c>
      <c r="H286">
        <v>51350</v>
      </c>
      <c r="I286">
        <v>35811509</v>
      </c>
      <c r="J286">
        <v>87</v>
      </c>
      <c r="K286" t="str" cm="1">
        <f t="array" ref="K286">_xlfn.IFS(Table1[[#This Row],[IMDB_Rating]]&gt;=9,"Masterpiece",Table1[[#This Row],[IMDB_Rating]]&gt;=8,"Excellent",Table1[[#This Row],[IMDB_Rating]]&gt;=7,"Good",Table1[[#This Row],[IMDB_Rating]]&lt;7,"Average")</f>
        <v>Good</v>
      </c>
    </row>
    <row r="287" spans="1:11" x14ac:dyDescent="0.35">
      <c r="A287" t="s">
        <v>1776</v>
      </c>
      <c r="B287">
        <v>2002</v>
      </c>
      <c r="C287">
        <v>105</v>
      </c>
      <c r="D287" t="s">
        <v>11</v>
      </c>
      <c r="E287">
        <v>7.7</v>
      </c>
      <c r="F287" t="s">
        <v>644</v>
      </c>
      <c r="G287" t="s">
        <v>1777</v>
      </c>
      <c r="H287">
        <v>40403</v>
      </c>
      <c r="I287">
        <v>15539266</v>
      </c>
      <c r="J287">
        <v>76</v>
      </c>
      <c r="K287" t="str" cm="1">
        <f t="array" ref="K287">_xlfn.IFS(Table1[[#This Row],[IMDB_Rating]]&gt;=9,"Masterpiece",Table1[[#This Row],[IMDB_Rating]]&gt;=8,"Excellent",Table1[[#This Row],[IMDB_Rating]]&gt;=7,"Good",Table1[[#This Row],[IMDB_Rating]]&lt;7,"Average")</f>
        <v>Good</v>
      </c>
    </row>
    <row r="288" spans="1:11" x14ac:dyDescent="0.35">
      <c r="A288" t="s">
        <v>1663</v>
      </c>
      <c r="B288">
        <v>2015</v>
      </c>
      <c r="C288">
        <v>105</v>
      </c>
      <c r="D288" t="s">
        <v>67</v>
      </c>
      <c r="E288">
        <v>7.7</v>
      </c>
      <c r="F288" t="s">
        <v>1664</v>
      </c>
      <c r="G288" t="s">
        <v>1665</v>
      </c>
      <c r="H288">
        <v>123210</v>
      </c>
      <c r="I288">
        <v>6743776</v>
      </c>
      <c r="J288">
        <v>74</v>
      </c>
      <c r="K288" t="str" cm="1">
        <f t="array" ref="K288">_xlfn.IFS(Table1[[#This Row],[IMDB_Rating]]&gt;=9,"Masterpiece",Table1[[#This Row],[IMDB_Rating]]&gt;=8,"Excellent",Table1[[#This Row],[IMDB_Rating]]&gt;=7,"Good",Table1[[#This Row],[IMDB_Rating]]&lt;7,"Average")</f>
        <v>Good</v>
      </c>
    </row>
    <row r="289" spans="1:11" x14ac:dyDescent="0.35">
      <c r="A289" t="s">
        <v>760</v>
      </c>
      <c r="B289">
        <v>1934</v>
      </c>
      <c r="C289">
        <v>105</v>
      </c>
      <c r="D289" t="s">
        <v>67</v>
      </c>
      <c r="E289">
        <v>8.1</v>
      </c>
      <c r="F289" t="s">
        <v>101</v>
      </c>
      <c r="G289" t="s">
        <v>761</v>
      </c>
      <c r="H289">
        <v>94016</v>
      </c>
      <c r="I289">
        <v>4360000</v>
      </c>
      <c r="J289">
        <v>87</v>
      </c>
      <c r="K289" t="str" cm="1">
        <f t="array" ref="K289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0" spans="1:11" x14ac:dyDescent="0.35">
      <c r="A290" t="s">
        <v>925</v>
      </c>
      <c r="B290">
        <v>1998</v>
      </c>
      <c r="C290">
        <v>105</v>
      </c>
      <c r="D290" t="s">
        <v>11</v>
      </c>
      <c r="E290">
        <v>8</v>
      </c>
      <c r="F290" t="s">
        <v>236</v>
      </c>
      <c r="G290" t="s">
        <v>926</v>
      </c>
      <c r="H290">
        <v>78341</v>
      </c>
      <c r="I290">
        <v>1647780</v>
      </c>
      <c r="J290">
        <v>82</v>
      </c>
      <c r="K290" t="str" cm="1">
        <f t="array" ref="K2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1" spans="1:11" x14ac:dyDescent="0.35">
      <c r="A291" t="s">
        <v>2070</v>
      </c>
      <c r="B291">
        <v>2004</v>
      </c>
      <c r="C291">
        <v>105</v>
      </c>
      <c r="D291" t="s">
        <v>11</v>
      </c>
      <c r="E291">
        <v>7.6</v>
      </c>
      <c r="F291" t="s">
        <v>2071</v>
      </c>
      <c r="G291" t="s">
        <v>2072</v>
      </c>
      <c r="H291">
        <v>65939</v>
      </c>
      <c r="I291">
        <v>697181</v>
      </c>
      <c r="J291">
        <v>73</v>
      </c>
      <c r="K291" t="str" cm="1">
        <f t="array" ref="K291">_xlfn.IFS(Table1[[#This Row],[IMDB_Rating]]&gt;=9,"Masterpiece",Table1[[#This Row],[IMDB_Rating]]&gt;=8,"Excellent",Table1[[#This Row],[IMDB_Rating]]&gt;=7,"Good",Table1[[#This Row],[IMDB_Rating]]&lt;7,"Average")</f>
        <v>Good</v>
      </c>
    </row>
    <row r="292" spans="1:11" x14ac:dyDescent="0.35">
      <c r="A292" t="s">
        <v>1946</v>
      </c>
      <c r="B292">
        <v>1951</v>
      </c>
      <c r="C292">
        <v>105</v>
      </c>
      <c r="D292" t="s">
        <v>74</v>
      </c>
      <c r="E292">
        <v>7.7</v>
      </c>
      <c r="F292" t="s">
        <v>477</v>
      </c>
      <c r="G292" t="s">
        <v>150</v>
      </c>
      <c r="H292">
        <v>71481</v>
      </c>
      <c r="I292">
        <v>536118</v>
      </c>
      <c r="J292">
        <v>91</v>
      </c>
      <c r="K292" t="str" cm="1">
        <f t="array" ref="K292">_xlfn.IFS(Table1[[#This Row],[IMDB_Rating]]&gt;=9,"Masterpiece",Table1[[#This Row],[IMDB_Rating]]&gt;=8,"Excellent",Table1[[#This Row],[IMDB_Rating]]&gt;=7,"Good",Table1[[#This Row],[IMDB_Rating]]&lt;7,"Average")</f>
        <v>Good</v>
      </c>
    </row>
    <row r="293" spans="1:11" x14ac:dyDescent="0.35">
      <c r="A293" t="s">
        <v>698</v>
      </c>
      <c r="B293">
        <v>1967</v>
      </c>
      <c r="C293">
        <v>105</v>
      </c>
      <c r="D293" t="s">
        <v>15</v>
      </c>
      <c r="E293">
        <v>8.1</v>
      </c>
      <c r="F293" t="s">
        <v>699</v>
      </c>
      <c r="G293" t="s">
        <v>700</v>
      </c>
      <c r="H293">
        <v>45434</v>
      </c>
      <c r="I293">
        <v>39481</v>
      </c>
      <c r="K293" t="str" cm="1">
        <f t="array" ref="K293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4" spans="1:11" x14ac:dyDescent="0.35">
      <c r="A294" t="s">
        <v>467</v>
      </c>
      <c r="B294">
        <v>1954</v>
      </c>
      <c r="C294">
        <v>105</v>
      </c>
      <c r="D294" t="s">
        <v>15</v>
      </c>
      <c r="E294">
        <v>8.1999999999999993</v>
      </c>
      <c r="F294" t="s">
        <v>146</v>
      </c>
      <c r="G294" t="s">
        <v>468</v>
      </c>
      <c r="H294">
        <v>158335</v>
      </c>
      <c r="I294">
        <v>12562</v>
      </c>
      <c r="J294">
        <v>75</v>
      </c>
      <c r="K294" t="str" cm="1">
        <f t="array" ref="K294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5" spans="1:11" x14ac:dyDescent="0.35">
      <c r="A295" t="s">
        <v>1928</v>
      </c>
      <c r="B295">
        <v>1962</v>
      </c>
      <c r="C295">
        <v>106</v>
      </c>
      <c r="D295" t="s">
        <v>11</v>
      </c>
      <c r="E295">
        <v>7.7</v>
      </c>
      <c r="F295" t="s">
        <v>1929</v>
      </c>
      <c r="G295" t="s">
        <v>453</v>
      </c>
      <c r="H295">
        <v>26457</v>
      </c>
      <c r="I295">
        <v>863391987</v>
      </c>
      <c r="J295">
        <v>76</v>
      </c>
      <c r="K295" t="str" cm="1">
        <f t="array" ref="K295">_xlfn.IFS(Table1[[#This Row],[IMDB_Rating]]&gt;=9,"Masterpiece",Table1[[#This Row],[IMDB_Rating]]&gt;=8,"Excellent",Table1[[#This Row],[IMDB_Rating]]&gt;=7,"Good",Table1[[#This Row],[IMDB_Rating]]&lt;7,"Average")</f>
        <v>Good</v>
      </c>
    </row>
    <row r="296" spans="1:11" x14ac:dyDescent="0.35">
      <c r="A296" t="s">
        <v>839</v>
      </c>
      <c r="B296">
        <v>2008</v>
      </c>
      <c r="C296">
        <v>106</v>
      </c>
      <c r="D296" t="s">
        <v>19</v>
      </c>
      <c r="E296">
        <v>8</v>
      </c>
      <c r="F296" t="s">
        <v>840</v>
      </c>
      <c r="G296" t="s">
        <v>841</v>
      </c>
      <c r="H296">
        <v>211427</v>
      </c>
      <c r="I296">
        <v>613703997</v>
      </c>
      <c r="J296">
        <v>59</v>
      </c>
      <c r="K296" t="str" cm="1">
        <f t="array" ref="K296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7" spans="1:11" x14ac:dyDescent="0.35">
      <c r="A297" t="s">
        <v>1056</v>
      </c>
      <c r="B297">
        <v>1949</v>
      </c>
      <c r="C297">
        <v>106</v>
      </c>
      <c r="D297" t="s">
        <v>67</v>
      </c>
      <c r="E297">
        <v>8</v>
      </c>
      <c r="F297" t="s">
        <v>1057</v>
      </c>
      <c r="G297" t="s">
        <v>1058</v>
      </c>
      <c r="H297">
        <v>34485</v>
      </c>
      <c r="I297">
        <v>312368637</v>
      </c>
      <c r="K297" t="str" cm="1">
        <f t="array" ref="K297">_xlfn.IFS(Table1[[#This Row],[IMDB_Rating]]&gt;=9,"Masterpiece",Table1[[#This Row],[IMDB_Rating]]&gt;=8,"Excellent",Table1[[#This Row],[IMDB_Rating]]&gt;=7,"Good",Table1[[#This Row],[IMDB_Rating]]&lt;7,"Average")</f>
        <v>Excellent</v>
      </c>
    </row>
    <row r="298" spans="1:11" x14ac:dyDescent="0.35">
      <c r="A298" t="s">
        <v>1320</v>
      </c>
      <c r="B298">
        <v>2017</v>
      </c>
      <c r="C298">
        <v>106</v>
      </c>
      <c r="D298" t="s">
        <v>19</v>
      </c>
      <c r="E298">
        <v>7.8</v>
      </c>
      <c r="F298" t="s">
        <v>20</v>
      </c>
      <c r="G298" t="s">
        <v>1321</v>
      </c>
      <c r="H298">
        <v>555092</v>
      </c>
      <c r="I298">
        <v>188373161</v>
      </c>
      <c r="J298">
        <v>94</v>
      </c>
      <c r="K298" t="str" cm="1">
        <f t="array" ref="K298">_xlfn.IFS(Table1[[#This Row],[IMDB_Rating]]&gt;=9,"Masterpiece",Table1[[#This Row],[IMDB_Rating]]&gt;=8,"Excellent",Table1[[#This Row],[IMDB_Rating]]&gt;=7,"Good",Table1[[#This Row],[IMDB_Rating]]&lt;7,"Average")</f>
        <v>Good</v>
      </c>
    </row>
    <row r="299" spans="1:11" x14ac:dyDescent="0.35">
      <c r="A299" t="s">
        <v>1013</v>
      </c>
      <c r="B299">
        <v>1967</v>
      </c>
      <c r="C299">
        <v>106</v>
      </c>
      <c r="D299" t="s">
        <v>67</v>
      </c>
      <c r="E299">
        <v>8</v>
      </c>
      <c r="F299" t="s">
        <v>1014</v>
      </c>
      <c r="G299" t="s">
        <v>969</v>
      </c>
      <c r="H299">
        <v>253676</v>
      </c>
      <c r="I299">
        <v>104945305</v>
      </c>
      <c r="J299">
        <v>83</v>
      </c>
      <c r="K299" t="str" cm="1">
        <f t="array" ref="K2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300" spans="1:11" x14ac:dyDescent="0.35">
      <c r="A300" t="s">
        <v>993</v>
      </c>
      <c r="B300">
        <v>1974</v>
      </c>
      <c r="C300">
        <v>106</v>
      </c>
      <c r="D300" t="s">
        <v>67</v>
      </c>
      <c r="E300">
        <v>8</v>
      </c>
      <c r="F300" t="s">
        <v>994</v>
      </c>
      <c r="G300" t="s">
        <v>995</v>
      </c>
      <c r="H300">
        <v>143359</v>
      </c>
      <c r="I300">
        <v>86300000</v>
      </c>
      <c r="J300">
        <v>80</v>
      </c>
      <c r="K300" t="str" cm="1">
        <f t="array" ref="K300">_xlfn.IFS(Table1[[#This Row],[IMDB_Rating]]&gt;=9,"Masterpiece",Table1[[#This Row],[IMDB_Rating]]&gt;=8,"Excellent",Table1[[#This Row],[IMDB_Rating]]&gt;=7,"Good",Table1[[#This Row],[IMDB_Rating]]&lt;7,"Average")</f>
        <v>Excellent</v>
      </c>
    </row>
    <row r="301" spans="1:11" x14ac:dyDescent="0.35">
      <c r="A301" t="s">
        <v>2081</v>
      </c>
      <c r="B301">
        <v>2004</v>
      </c>
      <c r="C301">
        <v>106</v>
      </c>
      <c r="D301" t="s">
        <v>34</v>
      </c>
      <c r="E301">
        <v>7.6</v>
      </c>
      <c r="F301" t="s">
        <v>2082</v>
      </c>
      <c r="G301" t="s">
        <v>900</v>
      </c>
      <c r="H301">
        <v>198677</v>
      </c>
      <c r="I301">
        <v>51680613</v>
      </c>
      <c r="J301">
        <v>67</v>
      </c>
      <c r="K301" t="str" cm="1">
        <f t="array" ref="K301">_xlfn.IFS(Table1[[#This Row],[IMDB_Rating]]&gt;=9,"Masterpiece",Table1[[#This Row],[IMDB_Rating]]&gt;=8,"Excellent",Table1[[#This Row],[IMDB_Rating]]&gt;=7,"Good",Table1[[#This Row],[IMDB_Rating]]&lt;7,"Average")</f>
        <v>Good</v>
      </c>
    </row>
    <row r="302" spans="1:11" x14ac:dyDescent="0.35">
      <c r="A302" t="s">
        <v>493</v>
      </c>
      <c r="B302">
        <v>2016</v>
      </c>
      <c r="C302">
        <v>106</v>
      </c>
      <c r="D302" t="s">
        <v>15</v>
      </c>
      <c r="E302">
        <v>8.1</v>
      </c>
      <c r="F302" t="s">
        <v>494</v>
      </c>
      <c r="G302" t="s">
        <v>495</v>
      </c>
      <c r="H302">
        <v>141516</v>
      </c>
      <c r="I302">
        <v>29756639</v>
      </c>
      <c r="K302" t="str" cm="1">
        <f t="array" ref="K30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03" spans="1:11" x14ac:dyDescent="0.35">
      <c r="A303" t="s">
        <v>123</v>
      </c>
      <c r="B303">
        <v>1995</v>
      </c>
      <c r="C303">
        <v>106</v>
      </c>
      <c r="D303" t="s">
        <v>15</v>
      </c>
      <c r="E303">
        <v>8.5</v>
      </c>
      <c r="F303" t="s">
        <v>124</v>
      </c>
      <c r="G303" t="s">
        <v>125</v>
      </c>
      <c r="H303">
        <v>991208</v>
      </c>
      <c r="I303">
        <v>23341568</v>
      </c>
      <c r="J303">
        <v>77</v>
      </c>
      <c r="K303" t="str" cm="1">
        <f t="array" ref="K303">_xlfn.IFS(Table1[[#This Row],[IMDB_Rating]]&gt;=9,"Masterpiece",Table1[[#This Row],[IMDB_Rating]]&gt;=8,"Excellent",Table1[[#This Row],[IMDB_Rating]]&gt;=7,"Good",Table1[[#This Row],[IMDB_Rating]]&lt;7,"Average")</f>
        <v>Excellent</v>
      </c>
    </row>
    <row r="304" spans="1:11" x14ac:dyDescent="0.35">
      <c r="A304" t="s">
        <v>1387</v>
      </c>
      <c r="B304">
        <v>2010</v>
      </c>
      <c r="C304">
        <v>106</v>
      </c>
      <c r="D304" t="s">
        <v>11</v>
      </c>
      <c r="E304">
        <v>7.8</v>
      </c>
      <c r="F304" t="s">
        <v>1388</v>
      </c>
      <c r="G304" t="s">
        <v>1389</v>
      </c>
      <c r="H304">
        <v>35713</v>
      </c>
      <c r="I304">
        <v>18500194</v>
      </c>
      <c r="K304" t="str" cm="1">
        <f t="array" ref="K304">_xlfn.IFS(Table1[[#This Row],[IMDB_Rating]]&gt;=9,"Masterpiece",Table1[[#This Row],[IMDB_Rating]]&gt;=8,"Excellent",Table1[[#This Row],[IMDB_Rating]]&gt;=7,"Good",Table1[[#This Row],[IMDB_Rating]]&lt;7,"Average")</f>
        <v>Good</v>
      </c>
    </row>
    <row r="305" spans="1:11" x14ac:dyDescent="0.35">
      <c r="A305" t="s">
        <v>2092</v>
      </c>
      <c r="B305">
        <v>2001</v>
      </c>
      <c r="C305">
        <v>106</v>
      </c>
      <c r="D305" t="s">
        <v>11</v>
      </c>
      <c r="E305">
        <v>7.6</v>
      </c>
      <c r="F305" t="s">
        <v>1184</v>
      </c>
      <c r="G305" t="s">
        <v>2093</v>
      </c>
      <c r="H305">
        <v>115827</v>
      </c>
      <c r="I305">
        <v>13622333</v>
      </c>
      <c r="J305">
        <v>88</v>
      </c>
      <c r="K305" t="str" cm="1">
        <f t="array" ref="K305">_xlfn.IFS(Table1[[#This Row],[IMDB_Rating]]&gt;=9,"Masterpiece",Table1[[#This Row],[IMDB_Rating]]&gt;=8,"Excellent",Table1[[#This Row],[IMDB_Rating]]&gt;=7,"Good",Table1[[#This Row],[IMDB_Rating]]&lt;7,"Average")</f>
        <v>Good</v>
      </c>
    </row>
    <row r="306" spans="1:11" x14ac:dyDescent="0.35">
      <c r="A306" t="s">
        <v>106</v>
      </c>
      <c r="B306">
        <v>2014</v>
      </c>
      <c r="C306">
        <v>106</v>
      </c>
      <c r="D306" t="s">
        <v>11</v>
      </c>
      <c r="E306">
        <v>8.5</v>
      </c>
      <c r="F306" t="s">
        <v>107</v>
      </c>
      <c r="G306" t="s">
        <v>108</v>
      </c>
      <c r="H306">
        <v>717585</v>
      </c>
      <c r="I306">
        <v>13092000</v>
      </c>
      <c r="J306">
        <v>88</v>
      </c>
      <c r="K306" t="str" cm="1">
        <f t="array" ref="K3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307" spans="1:11" x14ac:dyDescent="0.35">
      <c r="A307" t="s">
        <v>1499</v>
      </c>
      <c r="B307">
        <v>1997</v>
      </c>
      <c r="C307">
        <v>106</v>
      </c>
      <c r="D307" t="s">
        <v>11</v>
      </c>
      <c r="E307">
        <v>7.8</v>
      </c>
      <c r="F307" t="s">
        <v>1500</v>
      </c>
      <c r="G307" t="s">
        <v>595</v>
      </c>
      <c r="H307">
        <v>280845</v>
      </c>
      <c r="I307">
        <v>12339633</v>
      </c>
      <c r="J307">
        <v>64</v>
      </c>
      <c r="K307" t="str" cm="1">
        <f t="array" ref="K307">_xlfn.IFS(Table1[[#This Row],[IMDB_Rating]]&gt;=9,"Masterpiece",Table1[[#This Row],[IMDB_Rating]]&gt;=8,"Excellent",Table1[[#This Row],[IMDB_Rating]]&gt;=7,"Good",Table1[[#This Row],[IMDB_Rating]]&lt;7,"Average")</f>
        <v>Good</v>
      </c>
    </row>
    <row r="308" spans="1:11" x14ac:dyDescent="0.35">
      <c r="A308" t="s">
        <v>163</v>
      </c>
      <c r="B308">
        <v>2016</v>
      </c>
      <c r="C308">
        <v>106</v>
      </c>
      <c r="D308" t="s">
        <v>80</v>
      </c>
      <c r="E308">
        <v>8.4</v>
      </c>
      <c r="F308" t="s">
        <v>164</v>
      </c>
      <c r="G308" t="s">
        <v>165</v>
      </c>
      <c r="H308">
        <v>194838</v>
      </c>
      <c r="I308">
        <v>5017246</v>
      </c>
      <c r="J308">
        <v>79</v>
      </c>
      <c r="K308" t="str" cm="1">
        <f t="array" ref="K308">_xlfn.IFS(Table1[[#This Row],[IMDB_Rating]]&gt;=9,"Masterpiece",Table1[[#This Row],[IMDB_Rating]]&gt;=8,"Excellent",Table1[[#This Row],[IMDB_Rating]]&gt;=7,"Good",Table1[[#This Row],[IMDB_Rating]]&lt;7,"Average")</f>
        <v>Excellent</v>
      </c>
    </row>
    <row r="309" spans="1:11" x14ac:dyDescent="0.35">
      <c r="A309" t="s">
        <v>1104</v>
      </c>
      <c r="B309">
        <v>2016</v>
      </c>
      <c r="C309">
        <v>106</v>
      </c>
      <c r="D309" t="s">
        <v>67</v>
      </c>
      <c r="E309">
        <v>7.9</v>
      </c>
      <c r="F309" t="s">
        <v>1105</v>
      </c>
      <c r="G309" t="s">
        <v>1106</v>
      </c>
      <c r="H309">
        <v>85109</v>
      </c>
      <c r="I309">
        <v>3237118</v>
      </c>
      <c r="J309">
        <v>79</v>
      </c>
      <c r="K309" t="str" cm="1">
        <f t="array" ref="K309">_xlfn.IFS(Table1[[#This Row],[IMDB_Rating]]&gt;=9,"Masterpiece",Table1[[#This Row],[IMDB_Rating]]&gt;=8,"Excellent",Table1[[#This Row],[IMDB_Rating]]&gt;=7,"Good",Table1[[#This Row],[IMDB_Rating]]&lt;7,"Average")</f>
        <v>Good</v>
      </c>
    </row>
    <row r="310" spans="1:11" x14ac:dyDescent="0.35">
      <c r="A310" t="s">
        <v>2031</v>
      </c>
      <c r="B310">
        <v>2008</v>
      </c>
      <c r="C310">
        <v>107</v>
      </c>
      <c r="D310" t="s">
        <v>11</v>
      </c>
      <c r="E310">
        <v>7.6</v>
      </c>
      <c r="F310" t="s">
        <v>2032</v>
      </c>
      <c r="G310" t="s">
        <v>2033</v>
      </c>
      <c r="H310">
        <v>102742</v>
      </c>
      <c r="I310">
        <v>924558264</v>
      </c>
      <c r="K310" t="str" cm="1">
        <f t="array" ref="K310">_xlfn.IFS(Table1[[#This Row],[IMDB_Rating]]&gt;=9,"Masterpiece",Table1[[#This Row],[IMDB_Rating]]&gt;=8,"Excellent",Table1[[#This Row],[IMDB_Rating]]&gt;=7,"Good",Table1[[#This Row],[IMDB_Rating]]&lt;7,"Average")</f>
        <v>Good</v>
      </c>
    </row>
    <row r="311" spans="1:11" x14ac:dyDescent="0.35">
      <c r="A311" t="s">
        <v>1859</v>
      </c>
      <c r="B311">
        <v>1988</v>
      </c>
      <c r="C311">
        <v>107</v>
      </c>
      <c r="D311" t="s">
        <v>196</v>
      </c>
      <c r="E311">
        <v>7.7</v>
      </c>
      <c r="F311" t="s">
        <v>1860</v>
      </c>
      <c r="G311" t="s">
        <v>1861</v>
      </c>
      <c r="H311">
        <v>33982</v>
      </c>
      <c r="I311">
        <v>367916835</v>
      </c>
      <c r="K311" t="str" cm="1">
        <f t="array" ref="K311">_xlfn.IFS(Table1[[#This Row],[IMDB_Rating]]&gt;=9,"Masterpiece",Table1[[#This Row],[IMDB_Rating]]&gt;=8,"Excellent",Table1[[#This Row],[IMDB_Rating]]&gt;=7,"Good",Table1[[#This Row],[IMDB_Rating]]&lt;7,"Average")</f>
        <v>Good</v>
      </c>
    </row>
    <row r="312" spans="1:11" x14ac:dyDescent="0.35">
      <c r="A312" t="s">
        <v>612</v>
      </c>
      <c r="B312">
        <v>1999</v>
      </c>
      <c r="C312">
        <v>107</v>
      </c>
      <c r="D312" t="s">
        <v>11</v>
      </c>
      <c r="E312">
        <v>8.1</v>
      </c>
      <c r="F312" t="s">
        <v>613</v>
      </c>
      <c r="G312" t="s">
        <v>430</v>
      </c>
      <c r="H312">
        <v>911573</v>
      </c>
      <c r="I312">
        <v>293506292</v>
      </c>
      <c r="J312">
        <v>64</v>
      </c>
      <c r="K312" t="str" cm="1">
        <f t="array" ref="K31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13" spans="1:11" x14ac:dyDescent="0.35">
      <c r="A313" t="s">
        <v>1987</v>
      </c>
      <c r="B313">
        <v>2016</v>
      </c>
      <c r="C313">
        <v>107</v>
      </c>
      <c r="D313" t="s">
        <v>80</v>
      </c>
      <c r="E313">
        <v>7.6</v>
      </c>
      <c r="F313" t="s">
        <v>956</v>
      </c>
      <c r="G313" t="s">
        <v>957</v>
      </c>
      <c r="H313">
        <v>272784</v>
      </c>
      <c r="I313">
        <v>248757044</v>
      </c>
      <c r="J313">
        <v>81</v>
      </c>
      <c r="K313" t="str" cm="1">
        <f t="array" ref="K313">_xlfn.IFS(Table1[[#This Row],[IMDB_Rating]]&gt;=9,"Masterpiece",Table1[[#This Row],[IMDB_Rating]]&gt;=8,"Excellent",Table1[[#This Row],[IMDB_Rating]]&gt;=7,"Good",Table1[[#This Row],[IMDB_Rating]]&lt;7,"Average")</f>
        <v>Good</v>
      </c>
    </row>
    <row r="314" spans="1:11" x14ac:dyDescent="0.35">
      <c r="A314" t="s">
        <v>1532</v>
      </c>
      <c r="B314">
        <v>1990</v>
      </c>
      <c r="C314">
        <v>107</v>
      </c>
      <c r="D314" t="s">
        <v>11</v>
      </c>
      <c r="E314">
        <v>7.8</v>
      </c>
      <c r="F314" t="s">
        <v>653</v>
      </c>
      <c r="G314" t="s">
        <v>1533</v>
      </c>
      <c r="H314">
        <v>184740</v>
      </c>
      <c r="I314">
        <v>61276872</v>
      </c>
      <c r="J314">
        <v>75</v>
      </c>
      <c r="K314" t="str" cm="1">
        <f t="array" ref="K314">_xlfn.IFS(Table1[[#This Row],[IMDB_Rating]]&gt;=9,"Masterpiece",Table1[[#This Row],[IMDB_Rating]]&gt;=8,"Excellent",Table1[[#This Row],[IMDB_Rating]]&gt;=7,"Good",Table1[[#This Row],[IMDB_Rating]]&lt;7,"Average")</f>
        <v>Good</v>
      </c>
    </row>
    <row r="315" spans="1:11" x14ac:dyDescent="0.35">
      <c r="A315" t="s">
        <v>1544</v>
      </c>
      <c r="B315">
        <v>1987</v>
      </c>
      <c r="C315">
        <v>107</v>
      </c>
      <c r="D315" t="s">
        <v>19</v>
      </c>
      <c r="E315">
        <v>7.8</v>
      </c>
      <c r="F315" t="s">
        <v>429</v>
      </c>
      <c r="G315" t="s">
        <v>134</v>
      </c>
      <c r="H315">
        <v>371387</v>
      </c>
      <c r="I315">
        <v>59735548</v>
      </c>
      <c r="J315">
        <v>45</v>
      </c>
      <c r="K315" t="str" cm="1">
        <f t="array" ref="K315">_xlfn.IFS(Table1[[#This Row],[IMDB_Rating]]&gt;=9,"Masterpiece",Table1[[#This Row],[IMDB_Rating]]&gt;=8,"Excellent",Table1[[#This Row],[IMDB_Rating]]&gt;=7,"Good",Table1[[#This Row],[IMDB_Rating]]&lt;7,"Average")</f>
        <v>Good</v>
      </c>
    </row>
    <row r="316" spans="1:11" x14ac:dyDescent="0.35">
      <c r="A316" t="s">
        <v>1795</v>
      </c>
      <c r="B316">
        <v>2000</v>
      </c>
      <c r="C316">
        <v>107</v>
      </c>
      <c r="D316" t="s">
        <v>74</v>
      </c>
      <c r="E316">
        <v>7.7</v>
      </c>
      <c r="F316" t="s">
        <v>582</v>
      </c>
      <c r="G316" t="s">
        <v>581</v>
      </c>
      <c r="H316">
        <v>286742</v>
      </c>
      <c r="I316">
        <v>45512588</v>
      </c>
      <c r="J316">
        <v>69</v>
      </c>
      <c r="K316" t="str" cm="1">
        <f t="array" ref="K316">_xlfn.IFS(Table1[[#This Row],[IMDB_Rating]]&gt;=9,"Masterpiece",Table1[[#This Row],[IMDB_Rating]]&gt;=8,"Excellent",Table1[[#This Row],[IMDB_Rating]]&gt;=7,"Good",Table1[[#This Row],[IMDB_Rating]]&lt;7,"Average")</f>
        <v>Good</v>
      </c>
    </row>
    <row r="317" spans="1:11" x14ac:dyDescent="0.35">
      <c r="A317" t="s">
        <v>1231</v>
      </c>
      <c r="B317">
        <v>1986</v>
      </c>
      <c r="C317">
        <v>107</v>
      </c>
      <c r="D317" t="s">
        <v>67</v>
      </c>
      <c r="E317">
        <v>7.9</v>
      </c>
      <c r="F317" t="s">
        <v>989</v>
      </c>
      <c r="G317" t="s">
        <v>1011</v>
      </c>
      <c r="H317">
        <v>67176</v>
      </c>
      <c r="I317">
        <v>40084041</v>
      </c>
      <c r="J317">
        <v>90</v>
      </c>
      <c r="K317" t="str" cm="1">
        <f t="array" ref="K317">_xlfn.IFS(Table1[[#This Row],[IMDB_Rating]]&gt;=9,"Masterpiece",Table1[[#This Row],[IMDB_Rating]]&gt;=8,"Excellent",Table1[[#This Row],[IMDB_Rating]]&gt;=7,"Good",Table1[[#This Row],[IMDB_Rating]]&lt;7,"Average")</f>
        <v>Good</v>
      </c>
    </row>
    <row r="318" spans="1:11" x14ac:dyDescent="0.35">
      <c r="A318" t="s">
        <v>981</v>
      </c>
      <c r="B318">
        <v>1984</v>
      </c>
      <c r="C318">
        <v>107</v>
      </c>
      <c r="D318" t="s">
        <v>19</v>
      </c>
      <c r="E318">
        <v>8</v>
      </c>
      <c r="F318" t="s">
        <v>133</v>
      </c>
      <c r="G318" t="s">
        <v>134</v>
      </c>
      <c r="H318">
        <v>799795</v>
      </c>
      <c r="I318">
        <v>38400000</v>
      </c>
      <c r="J318">
        <v>84</v>
      </c>
      <c r="K318" t="str" cm="1">
        <f t="array" ref="K318">_xlfn.IFS(Table1[[#This Row],[IMDB_Rating]]&gt;=9,"Masterpiece",Table1[[#This Row],[IMDB_Rating]]&gt;=8,"Excellent",Table1[[#This Row],[IMDB_Rating]]&gt;=7,"Good",Table1[[#This Row],[IMDB_Rating]]&lt;7,"Average")</f>
        <v>Excellent</v>
      </c>
    </row>
    <row r="319" spans="1:11" x14ac:dyDescent="0.35">
      <c r="A319" t="s">
        <v>1640</v>
      </c>
      <c r="B319">
        <v>2017</v>
      </c>
      <c r="C319">
        <v>107</v>
      </c>
      <c r="D319" t="s">
        <v>15</v>
      </c>
      <c r="E319">
        <v>7.7</v>
      </c>
      <c r="F319" t="s">
        <v>1641</v>
      </c>
      <c r="G319" t="s">
        <v>1642</v>
      </c>
      <c r="H319">
        <v>205444</v>
      </c>
      <c r="I319">
        <v>33800859</v>
      </c>
      <c r="J319">
        <v>73</v>
      </c>
      <c r="K319" t="str" cm="1">
        <f t="array" ref="K319">_xlfn.IFS(Table1[[#This Row],[IMDB_Rating]]&gt;=9,"Masterpiece",Table1[[#This Row],[IMDB_Rating]]&gt;=8,"Excellent",Table1[[#This Row],[IMDB_Rating]]&gt;=7,"Good",Table1[[#This Row],[IMDB_Rating]]&lt;7,"Average")</f>
        <v>Good</v>
      </c>
    </row>
    <row r="320" spans="1:11" x14ac:dyDescent="0.35">
      <c r="A320" t="s">
        <v>1154</v>
      </c>
      <c r="B320">
        <v>2008</v>
      </c>
      <c r="C320">
        <v>107</v>
      </c>
      <c r="D320" t="s">
        <v>67</v>
      </c>
      <c r="E320">
        <v>7.9</v>
      </c>
      <c r="F320" t="s">
        <v>338</v>
      </c>
      <c r="G320" t="s">
        <v>1155</v>
      </c>
      <c r="H320">
        <v>390334</v>
      </c>
      <c r="I320">
        <v>7757130</v>
      </c>
      <c r="J320">
        <v>67</v>
      </c>
      <c r="K320" t="str" cm="1">
        <f t="array" ref="K320">_xlfn.IFS(Table1[[#This Row],[IMDB_Rating]]&gt;=9,"Masterpiece",Table1[[#This Row],[IMDB_Rating]]&gt;=8,"Excellent",Table1[[#This Row],[IMDB_Rating]]&gt;=7,"Good",Table1[[#This Row],[IMDB_Rating]]&lt;7,"Average")</f>
        <v>Good</v>
      </c>
    </row>
    <row r="321" spans="1:11" x14ac:dyDescent="0.35">
      <c r="A321" t="s">
        <v>316</v>
      </c>
      <c r="B321">
        <v>1944</v>
      </c>
      <c r="C321">
        <v>107</v>
      </c>
      <c r="D321" t="s">
        <v>15</v>
      </c>
      <c r="E321">
        <v>8.3000000000000007</v>
      </c>
      <c r="F321" t="s">
        <v>216</v>
      </c>
      <c r="G321" t="s">
        <v>317</v>
      </c>
      <c r="H321">
        <v>143525</v>
      </c>
      <c r="I321">
        <v>5720000</v>
      </c>
      <c r="J321">
        <v>95</v>
      </c>
      <c r="K321" t="str" cm="1">
        <f t="array" ref="K321">_xlfn.IFS(Table1[[#This Row],[IMDB_Rating]]&gt;=9,"Masterpiece",Table1[[#This Row],[IMDB_Rating]]&gt;=8,"Excellent",Table1[[#This Row],[IMDB_Rating]]&gt;=7,"Good",Table1[[#This Row],[IMDB_Rating]]&lt;7,"Average")</f>
        <v>Excellent</v>
      </c>
    </row>
    <row r="322" spans="1:11" x14ac:dyDescent="0.35">
      <c r="A322" t="s">
        <v>409</v>
      </c>
      <c r="B322">
        <v>1998</v>
      </c>
      <c r="C322">
        <v>107</v>
      </c>
      <c r="D322" t="s">
        <v>19</v>
      </c>
      <c r="E322">
        <v>8.1999999999999993</v>
      </c>
      <c r="F322" t="s">
        <v>258</v>
      </c>
      <c r="G322" t="s">
        <v>410</v>
      </c>
      <c r="H322">
        <v>535216</v>
      </c>
      <c r="I322">
        <v>3897569</v>
      </c>
      <c r="J322">
        <v>66</v>
      </c>
      <c r="K322" t="str" cm="1">
        <f t="array" ref="K32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23" spans="1:11" x14ac:dyDescent="0.35">
      <c r="A323" t="s">
        <v>1862</v>
      </c>
      <c r="B323">
        <v>1987</v>
      </c>
      <c r="C323">
        <v>107</v>
      </c>
      <c r="D323" t="s">
        <v>67</v>
      </c>
      <c r="E323">
        <v>7.7</v>
      </c>
      <c r="F323" t="s">
        <v>1863</v>
      </c>
      <c r="G323" t="s">
        <v>1864</v>
      </c>
      <c r="H323">
        <v>40396</v>
      </c>
      <c r="I323">
        <v>1544889</v>
      </c>
      <c r="J323">
        <v>84</v>
      </c>
      <c r="K323" t="str" cm="1">
        <f t="array" ref="K323">_xlfn.IFS(Table1[[#This Row],[IMDB_Rating]]&gt;=9,"Masterpiece",Table1[[#This Row],[IMDB_Rating]]&gt;=8,"Excellent",Table1[[#This Row],[IMDB_Rating]]&gt;=7,"Good",Table1[[#This Row],[IMDB_Rating]]&lt;7,"Average")</f>
        <v>Good</v>
      </c>
    </row>
    <row r="324" spans="1:11" x14ac:dyDescent="0.35">
      <c r="A324" t="s">
        <v>1550</v>
      </c>
      <c r="B324">
        <v>1986</v>
      </c>
      <c r="C324">
        <v>107</v>
      </c>
      <c r="D324" t="s">
        <v>67</v>
      </c>
      <c r="E324">
        <v>7.8</v>
      </c>
      <c r="F324" t="s">
        <v>1526</v>
      </c>
      <c r="G324" t="s">
        <v>1551</v>
      </c>
      <c r="H324">
        <v>47834</v>
      </c>
      <c r="I324">
        <v>1436000</v>
      </c>
      <c r="J324">
        <v>75</v>
      </c>
      <c r="K324" t="str" cm="1">
        <f t="array" ref="K324">_xlfn.IFS(Table1[[#This Row],[IMDB_Rating]]&gt;=9,"Masterpiece",Table1[[#This Row],[IMDB_Rating]]&gt;=8,"Excellent",Table1[[#This Row],[IMDB_Rating]]&gt;=7,"Good",Table1[[#This Row],[IMDB_Rating]]&lt;7,"Average")</f>
        <v>Good</v>
      </c>
    </row>
    <row r="325" spans="1:11" x14ac:dyDescent="0.35">
      <c r="A325" t="s">
        <v>689</v>
      </c>
      <c r="B325">
        <v>1975</v>
      </c>
      <c r="C325">
        <v>107</v>
      </c>
      <c r="D325" t="s">
        <v>34</v>
      </c>
      <c r="E325">
        <v>8.1</v>
      </c>
      <c r="F325" t="s">
        <v>434</v>
      </c>
      <c r="G325" t="s">
        <v>690</v>
      </c>
      <c r="H325">
        <v>40081</v>
      </c>
      <c r="I325">
        <v>177345</v>
      </c>
      <c r="K325" t="str" cm="1">
        <f t="array" ref="K3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326" spans="1:11" x14ac:dyDescent="0.35">
      <c r="A326" t="s">
        <v>832</v>
      </c>
      <c r="B326">
        <v>2016</v>
      </c>
      <c r="C326">
        <v>108</v>
      </c>
      <c r="D326" t="s">
        <v>19</v>
      </c>
      <c r="E326">
        <v>8</v>
      </c>
      <c r="F326" t="s">
        <v>833</v>
      </c>
      <c r="G326" t="s">
        <v>834</v>
      </c>
      <c r="H326">
        <v>902669</v>
      </c>
      <c r="I326">
        <v>363070709</v>
      </c>
      <c r="J326">
        <v>65</v>
      </c>
      <c r="K326" t="str" cm="1">
        <f t="array" ref="K326">_xlfn.IFS(Table1[[#This Row],[IMDB_Rating]]&gt;=9,"Masterpiece",Table1[[#This Row],[IMDB_Rating]]&gt;=8,"Excellent",Table1[[#This Row],[IMDB_Rating]]&gt;=7,"Good",Table1[[#This Row],[IMDB_Rating]]&lt;7,"Average")</f>
        <v>Excellent</v>
      </c>
    </row>
    <row r="327" spans="1:11" x14ac:dyDescent="0.35">
      <c r="A327" t="s">
        <v>792</v>
      </c>
      <c r="B327">
        <v>2016</v>
      </c>
      <c r="C327">
        <v>108</v>
      </c>
      <c r="D327" t="s">
        <v>80</v>
      </c>
      <c r="E327">
        <v>8</v>
      </c>
      <c r="F327" t="s">
        <v>793</v>
      </c>
      <c r="G327" t="s">
        <v>794</v>
      </c>
      <c r="H327">
        <v>434143</v>
      </c>
      <c r="I327">
        <v>341268248</v>
      </c>
      <c r="J327">
        <v>78</v>
      </c>
      <c r="K327" t="str" cm="1">
        <f t="array" ref="K327">_xlfn.IFS(Table1[[#This Row],[IMDB_Rating]]&gt;=9,"Masterpiece",Table1[[#This Row],[IMDB_Rating]]&gt;=8,"Excellent",Table1[[#This Row],[IMDB_Rating]]&gt;=7,"Good",Table1[[#This Row],[IMDB_Rating]]&lt;7,"Average")</f>
        <v>Excellent</v>
      </c>
    </row>
    <row r="328" spans="1:11" x14ac:dyDescent="0.35">
      <c r="A328" t="s">
        <v>2112</v>
      </c>
      <c r="B328">
        <v>1997</v>
      </c>
      <c r="C328">
        <v>108</v>
      </c>
      <c r="D328" t="s">
        <v>15</v>
      </c>
      <c r="E328">
        <v>7.6</v>
      </c>
      <c r="F328" t="s">
        <v>1129</v>
      </c>
      <c r="G328" t="s">
        <v>2113</v>
      </c>
      <c r="H328">
        <v>65058</v>
      </c>
      <c r="I328">
        <v>217345863</v>
      </c>
      <c r="J328">
        <v>69</v>
      </c>
      <c r="K328" t="str" cm="1">
        <f t="array" ref="K328">_xlfn.IFS(Table1[[#This Row],[IMDB_Rating]]&gt;=9,"Masterpiece",Table1[[#This Row],[IMDB_Rating]]&gt;=8,"Excellent",Table1[[#This Row],[IMDB_Rating]]&gt;=7,"Good",Table1[[#This Row],[IMDB_Rating]]&lt;7,"Average")</f>
        <v>Good</v>
      </c>
    </row>
    <row r="329" spans="1:11" x14ac:dyDescent="0.35">
      <c r="A329" t="s">
        <v>1759</v>
      </c>
      <c r="B329">
        <v>2004</v>
      </c>
      <c r="C329">
        <v>108</v>
      </c>
      <c r="D329" t="s">
        <v>19</v>
      </c>
      <c r="E329">
        <v>7.7</v>
      </c>
      <c r="F329" t="s">
        <v>865</v>
      </c>
      <c r="G329" t="s">
        <v>542</v>
      </c>
      <c r="H329">
        <v>434841</v>
      </c>
      <c r="I329">
        <v>176241941</v>
      </c>
      <c r="J329">
        <v>73</v>
      </c>
      <c r="K329" t="str" cm="1">
        <f t="array" ref="K329">_xlfn.IFS(Table1[[#This Row],[IMDB_Rating]]&gt;=9,"Masterpiece",Table1[[#This Row],[IMDB_Rating]]&gt;=8,"Excellent",Table1[[#This Row],[IMDB_Rating]]&gt;=7,"Good",Table1[[#This Row],[IMDB_Rating]]&lt;7,"Average")</f>
        <v>Good</v>
      </c>
    </row>
    <row r="330" spans="1:11" x14ac:dyDescent="0.35">
      <c r="A330" t="s">
        <v>1616</v>
      </c>
      <c r="B330">
        <v>1943</v>
      </c>
      <c r="C330">
        <v>108</v>
      </c>
      <c r="D330" t="s">
        <v>744</v>
      </c>
      <c r="E330">
        <v>7.8</v>
      </c>
      <c r="F330" t="s">
        <v>146</v>
      </c>
      <c r="G330" t="s">
        <v>1617</v>
      </c>
      <c r="H330">
        <v>59556</v>
      </c>
      <c r="I330">
        <v>123353292</v>
      </c>
      <c r="J330">
        <v>94</v>
      </c>
      <c r="K330" t="str" cm="1">
        <f t="array" ref="K330">_xlfn.IFS(Table1[[#This Row],[IMDB_Rating]]&gt;=9,"Masterpiece",Table1[[#This Row],[IMDB_Rating]]&gt;=8,"Excellent",Table1[[#This Row],[IMDB_Rating]]&gt;=7,"Good",Table1[[#This Row],[IMDB_Rating]]&lt;7,"Average")</f>
        <v>Good</v>
      </c>
    </row>
    <row r="331" spans="1:11" x14ac:dyDescent="0.35">
      <c r="A331" t="s">
        <v>1541</v>
      </c>
      <c r="B331">
        <v>1989</v>
      </c>
      <c r="C331">
        <v>108</v>
      </c>
      <c r="D331" t="s">
        <v>74</v>
      </c>
      <c r="E331">
        <v>7.8</v>
      </c>
      <c r="F331" t="s">
        <v>44</v>
      </c>
      <c r="G331" t="s">
        <v>142</v>
      </c>
      <c r="H331">
        <v>481918</v>
      </c>
      <c r="I331">
        <v>118500000</v>
      </c>
      <c r="J331">
        <v>57</v>
      </c>
      <c r="K331" t="str" cm="1">
        <f t="array" ref="K331">_xlfn.IFS(Table1[[#This Row],[IMDB_Rating]]&gt;=9,"Masterpiece",Table1[[#This Row],[IMDB_Rating]]&gt;=8,"Excellent",Table1[[#This Row],[IMDB_Rating]]&gt;=7,"Good",Table1[[#This Row],[IMDB_Rating]]&lt;7,"Average")</f>
        <v>Good</v>
      </c>
    </row>
    <row r="332" spans="1:11" x14ac:dyDescent="0.35">
      <c r="A332" t="s">
        <v>848</v>
      </c>
      <c r="B332">
        <v>2010</v>
      </c>
      <c r="C332">
        <v>108</v>
      </c>
      <c r="D332" t="s">
        <v>11</v>
      </c>
      <c r="E332">
        <v>8</v>
      </c>
      <c r="F332" t="s">
        <v>261</v>
      </c>
      <c r="G332" t="s">
        <v>849</v>
      </c>
      <c r="H332">
        <v>699673</v>
      </c>
      <c r="I332">
        <v>106954678</v>
      </c>
      <c r="J332">
        <v>79</v>
      </c>
      <c r="K332" t="str" cm="1">
        <f t="array" ref="K33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33" spans="1:11" x14ac:dyDescent="0.35">
      <c r="A333" t="s">
        <v>1047</v>
      </c>
      <c r="B333">
        <v>1954</v>
      </c>
      <c r="C333">
        <v>108</v>
      </c>
      <c r="D333" t="s">
        <v>11</v>
      </c>
      <c r="E333">
        <v>8</v>
      </c>
      <c r="F333" t="s">
        <v>730</v>
      </c>
      <c r="G333" t="s">
        <v>441</v>
      </c>
      <c r="H333">
        <v>58314</v>
      </c>
      <c r="I333">
        <v>101832153</v>
      </c>
      <c r="K333" t="str" cm="1">
        <f t="array" ref="K333">_xlfn.IFS(Table1[[#This Row],[IMDB_Rating]]&gt;=9,"Masterpiece",Table1[[#This Row],[IMDB_Rating]]&gt;=8,"Excellent",Table1[[#This Row],[IMDB_Rating]]&gt;=7,"Good",Table1[[#This Row],[IMDB_Rating]]&lt;7,"Average")</f>
        <v>Excellent</v>
      </c>
    </row>
    <row r="334" spans="1:11" x14ac:dyDescent="0.35">
      <c r="A334" t="s">
        <v>1595</v>
      </c>
      <c r="B334">
        <v>1967</v>
      </c>
      <c r="C334">
        <v>108</v>
      </c>
      <c r="D334" t="s">
        <v>67</v>
      </c>
      <c r="E334">
        <v>7.8</v>
      </c>
      <c r="F334" t="s">
        <v>456</v>
      </c>
      <c r="G334" t="s">
        <v>457</v>
      </c>
      <c r="H334">
        <v>39642</v>
      </c>
      <c r="I334">
        <v>56700000</v>
      </c>
      <c r="J334">
        <v>63</v>
      </c>
      <c r="K334" t="str" cm="1">
        <f t="array" ref="K334">_xlfn.IFS(Table1[[#This Row],[IMDB_Rating]]&gt;=9,"Masterpiece",Table1[[#This Row],[IMDB_Rating]]&gt;=8,"Excellent",Table1[[#This Row],[IMDB_Rating]]&gt;=7,"Good",Table1[[#This Row],[IMDB_Rating]]&lt;7,"Average")</f>
        <v>Good</v>
      </c>
    </row>
    <row r="335" spans="1:11" x14ac:dyDescent="0.35">
      <c r="A335" t="s">
        <v>251</v>
      </c>
      <c r="B335">
        <v>2004</v>
      </c>
      <c r="C335">
        <v>108</v>
      </c>
      <c r="D335" t="s">
        <v>11</v>
      </c>
      <c r="E335">
        <v>8.3000000000000007</v>
      </c>
      <c r="F335" t="s">
        <v>252</v>
      </c>
      <c r="G335" t="s">
        <v>253</v>
      </c>
      <c r="H335">
        <v>911664</v>
      </c>
      <c r="I335">
        <v>34400301</v>
      </c>
      <c r="J335">
        <v>89</v>
      </c>
      <c r="K335" t="str" cm="1">
        <f t="array" ref="K335">_xlfn.IFS(Table1[[#This Row],[IMDB_Rating]]&gt;=9,"Masterpiece",Table1[[#This Row],[IMDB_Rating]]&gt;=8,"Excellent",Table1[[#This Row],[IMDB_Rating]]&gt;=7,"Good",Table1[[#This Row],[IMDB_Rating]]&lt;7,"Average")</f>
        <v>Excellent</v>
      </c>
    </row>
    <row r="336" spans="1:11" x14ac:dyDescent="0.35">
      <c r="A336" t="s">
        <v>1491</v>
      </c>
      <c r="B336">
        <v>1999</v>
      </c>
      <c r="C336">
        <v>108</v>
      </c>
      <c r="D336" t="s">
        <v>34</v>
      </c>
      <c r="E336">
        <v>7.8</v>
      </c>
      <c r="F336" t="s">
        <v>1492</v>
      </c>
      <c r="G336" t="s">
        <v>915</v>
      </c>
      <c r="H336">
        <v>82855</v>
      </c>
      <c r="I336">
        <v>32481825</v>
      </c>
      <c r="J336">
        <v>71</v>
      </c>
      <c r="K336" t="str" cm="1">
        <f t="array" ref="K336">_xlfn.IFS(Table1[[#This Row],[IMDB_Rating]]&gt;=9,"Masterpiece",Table1[[#This Row],[IMDB_Rating]]&gt;=8,"Excellent",Table1[[#This Row],[IMDB_Rating]]&gt;=7,"Good",Table1[[#This Row],[IMDB_Rating]]&lt;7,"Average")</f>
        <v>Good</v>
      </c>
    </row>
    <row r="337" spans="1:11" x14ac:dyDescent="0.35">
      <c r="A337" t="s">
        <v>1731</v>
      </c>
      <c r="B337">
        <v>2014</v>
      </c>
      <c r="C337">
        <v>108</v>
      </c>
      <c r="D337" t="s">
        <v>11</v>
      </c>
      <c r="E337">
        <v>7.7</v>
      </c>
      <c r="F337" t="s">
        <v>1732</v>
      </c>
      <c r="G337" t="s">
        <v>1733</v>
      </c>
      <c r="H337">
        <v>474141</v>
      </c>
      <c r="I337">
        <v>25442958</v>
      </c>
      <c r="J337">
        <v>78</v>
      </c>
      <c r="K337" t="str" cm="1">
        <f t="array" ref="K337">_xlfn.IFS(Table1[[#This Row],[IMDB_Rating]]&gt;=9,"Masterpiece",Table1[[#This Row],[IMDB_Rating]]&gt;=8,"Excellent",Table1[[#This Row],[IMDB_Rating]]&gt;=7,"Good",Table1[[#This Row],[IMDB_Rating]]&lt;7,"Average")</f>
        <v>Good</v>
      </c>
    </row>
    <row r="338" spans="1:11" x14ac:dyDescent="0.35">
      <c r="A338" t="s">
        <v>1832</v>
      </c>
      <c r="B338">
        <v>1994</v>
      </c>
      <c r="C338">
        <v>108</v>
      </c>
      <c r="D338" t="s">
        <v>34</v>
      </c>
      <c r="E338">
        <v>7.7</v>
      </c>
      <c r="F338" t="s">
        <v>1833</v>
      </c>
      <c r="G338" t="s">
        <v>1834</v>
      </c>
      <c r="H338">
        <v>33600</v>
      </c>
      <c r="I338">
        <v>21848932</v>
      </c>
      <c r="J338">
        <v>81</v>
      </c>
      <c r="K338" t="str" cm="1">
        <f t="array" ref="K338">_xlfn.IFS(Table1[[#This Row],[IMDB_Rating]]&gt;=9,"Masterpiece",Table1[[#This Row],[IMDB_Rating]]&gt;=8,"Excellent",Table1[[#This Row],[IMDB_Rating]]&gt;=7,"Good",Table1[[#This Row],[IMDB_Rating]]&lt;7,"Average")</f>
        <v>Good</v>
      </c>
    </row>
    <row r="339" spans="1:11" x14ac:dyDescent="0.35">
      <c r="A339" t="s">
        <v>1037</v>
      </c>
      <c r="B339">
        <v>1958</v>
      </c>
      <c r="C339">
        <v>108</v>
      </c>
      <c r="D339" t="s">
        <v>11</v>
      </c>
      <c r="E339">
        <v>8</v>
      </c>
      <c r="F339" t="s">
        <v>1038</v>
      </c>
      <c r="G339" t="s">
        <v>1016</v>
      </c>
      <c r="H339">
        <v>45062</v>
      </c>
      <c r="I339">
        <v>17570324</v>
      </c>
      <c r="J339">
        <v>84</v>
      </c>
      <c r="K339" t="str" cm="1">
        <f t="array" ref="K339">_xlfn.IFS(Table1[[#This Row],[IMDB_Rating]]&gt;=9,"Masterpiece",Table1[[#This Row],[IMDB_Rating]]&gt;=8,"Excellent",Table1[[#This Row],[IMDB_Rating]]&gt;=7,"Good",Table1[[#This Row],[IMDB_Rating]]&lt;7,"Average")</f>
        <v>Excellent</v>
      </c>
    </row>
    <row r="340" spans="1:11" x14ac:dyDescent="0.35">
      <c r="A340" t="s">
        <v>1591</v>
      </c>
      <c r="B340">
        <v>1967</v>
      </c>
      <c r="C340">
        <v>108</v>
      </c>
      <c r="D340" t="s">
        <v>1592</v>
      </c>
      <c r="E340">
        <v>7.8</v>
      </c>
      <c r="F340" t="s">
        <v>1593</v>
      </c>
      <c r="G340" t="s">
        <v>1594</v>
      </c>
      <c r="H340">
        <v>27733</v>
      </c>
      <c r="I340">
        <v>17550741</v>
      </c>
      <c r="J340">
        <v>81</v>
      </c>
      <c r="K340" t="str" cm="1">
        <f t="array" ref="K340">_xlfn.IFS(Table1[[#This Row],[IMDB_Rating]]&gt;=9,"Masterpiece",Table1[[#This Row],[IMDB_Rating]]&gt;=8,"Excellent",Table1[[#This Row],[IMDB_Rating]]&gt;=7,"Good",Table1[[#This Row],[IMDB_Rating]]&lt;7,"Average")</f>
        <v>Good</v>
      </c>
    </row>
    <row r="341" spans="1:11" x14ac:dyDescent="0.35">
      <c r="A341" t="s">
        <v>734</v>
      </c>
      <c r="B341">
        <v>1954</v>
      </c>
      <c r="C341">
        <v>108</v>
      </c>
      <c r="D341" t="s">
        <v>15</v>
      </c>
      <c r="E341">
        <v>8.1</v>
      </c>
      <c r="F341" t="s">
        <v>735</v>
      </c>
      <c r="G341" t="s">
        <v>17</v>
      </c>
      <c r="H341">
        <v>142107</v>
      </c>
      <c r="I341">
        <v>9600000</v>
      </c>
      <c r="J341">
        <v>91</v>
      </c>
      <c r="K341" t="str" cm="1">
        <f t="array" ref="K341">_xlfn.IFS(Table1[[#This Row],[IMDB_Rating]]&gt;=9,"Masterpiece",Table1[[#This Row],[IMDB_Rating]]&gt;=8,"Excellent",Table1[[#This Row],[IMDB_Rating]]&gt;=7,"Good",Table1[[#This Row],[IMDB_Rating]]&lt;7,"Average")</f>
        <v>Excellent</v>
      </c>
    </row>
    <row r="342" spans="1:11" x14ac:dyDescent="0.35">
      <c r="A342" t="s">
        <v>1684</v>
      </c>
      <c r="B342">
        <v>2015</v>
      </c>
      <c r="C342">
        <v>108</v>
      </c>
      <c r="D342" t="s">
        <v>80</v>
      </c>
      <c r="E342">
        <v>7.7</v>
      </c>
      <c r="F342" t="s">
        <v>1685</v>
      </c>
      <c r="G342" t="s">
        <v>1686</v>
      </c>
      <c r="H342">
        <v>56720</v>
      </c>
      <c r="I342">
        <v>1339152</v>
      </c>
      <c r="J342">
        <v>70</v>
      </c>
      <c r="K342" t="str" cm="1">
        <f t="array" ref="K342">_xlfn.IFS(Table1[[#This Row],[IMDB_Rating]]&gt;=9,"Masterpiece",Table1[[#This Row],[IMDB_Rating]]&gt;=8,"Excellent",Table1[[#This Row],[IMDB_Rating]]&gt;=7,"Good",Table1[[#This Row],[IMDB_Rating]]&lt;7,"Average")</f>
        <v>Good</v>
      </c>
    </row>
    <row r="343" spans="1:11" x14ac:dyDescent="0.35">
      <c r="A343" t="s">
        <v>1111</v>
      </c>
      <c r="B343">
        <v>2019</v>
      </c>
      <c r="C343">
        <v>108</v>
      </c>
      <c r="D343" t="s">
        <v>67</v>
      </c>
      <c r="E343">
        <v>7.9</v>
      </c>
      <c r="F343" t="s">
        <v>1101</v>
      </c>
      <c r="G343" t="s">
        <v>1112</v>
      </c>
      <c r="H343">
        <v>297918</v>
      </c>
      <c r="I343">
        <v>349555</v>
      </c>
      <c r="J343">
        <v>58</v>
      </c>
      <c r="K343" t="str" cm="1">
        <f t="array" ref="K343">_xlfn.IFS(Table1[[#This Row],[IMDB_Rating]]&gt;=9,"Masterpiece",Table1[[#This Row],[IMDB_Rating]]&gt;=8,"Excellent",Table1[[#This Row],[IMDB_Rating]]&gt;=7,"Good",Table1[[#This Row],[IMDB_Rating]]&lt;7,"Average")</f>
        <v>Good</v>
      </c>
    </row>
    <row r="344" spans="1:11" x14ac:dyDescent="0.35">
      <c r="A344" t="s">
        <v>1488</v>
      </c>
      <c r="B344">
        <v>1999</v>
      </c>
      <c r="C344">
        <v>108</v>
      </c>
      <c r="D344" t="s">
        <v>19</v>
      </c>
      <c r="E344">
        <v>7.8</v>
      </c>
      <c r="F344" t="s">
        <v>1489</v>
      </c>
      <c r="G344" t="s">
        <v>779</v>
      </c>
      <c r="H344">
        <v>227143</v>
      </c>
      <c r="I344">
        <v>25812</v>
      </c>
      <c r="J344">
        <v>44</v>
      </c>
      <c r="K344" t="str" cm="1">
        <f t="array" ref="K344">_xlfn.IFS(Table1[[#This Row],[IMDB_Rating]]&gt;=9,"Masterpiece",Table1[[#This Row],[IMDB_Rating]]&gt;=8,"Excellent",Table1[[#This Row],[IMDB_Rating]]&gt;=7,"Good",Table1[[#This Row],[IMDB_Rating]]&lt;7,"Average")</f>
        <v>Good</v>
      </c>
    </row>
    <row r="345" spans="1:11" x14ac:dyDescent="0.35">
      <c r="A345" t="s">
        <v>2152</v>
      </c>
      <c r="B345">
        <v>1981</v>
      </c>
      <c r="C345">
        <v>109</v>
      </c>
      <c r="D345" t="s">
        <v>11</v>
      </c>
      <c r="E345">
        <v>7.6</v>
      </c>
      <c r="F345" t="s">
        <v>2153</v>
      </c>
      <c r="G345" t="s">
        <v>1622</v>
      </c>
      <c r="H345">
        <v>27650</v>
      </c>
      <c r="I345">
        <v>119285432</v>
      </c>
      <c r="J345">
        <v>68</v>
      </c>
      <c r="K345" t="str" cm="1">
        <f t="array" ref="K345">_xlfn.IFS(Table1[[#This Row],[IMDB_Rating]]&gt;=9,"Masterpiece",Table1[[#This Row],[IMDB_Rating]]&gt;=8,"Excellent",Table1[[#This Row],[IMDB_Rating]]&gt;=7,"Good",Table1[[#This Row],[IMDB_Rating]]&lt;7,"Average")</f>
        <v>Good</v>
      </c>
    </row>
    <row r="346" spans="1:11" x14ac:dyDescent="0.35">
      <c r="A346" t="s">
        <v>2150</v>
      </c>
      <c r="B346">
        <v>1987</v>
      </c>
      <c r="C346">
        <v>109</v>
      </c>
      <c r="D346" t="s">
        <v>19</v>
      </c>
      <c r="E346">
        <v>7.6</v>
      </c>
      <c r="F346" t="s">
        <v>1553</v>
      </c>
      <c r="G346" t="s">
        <v>273</v>
      </c>
      <c r="H346">
        <v>236894</v>
      </c>
      <c r="I346">
        <v>65207127</v>
      </c>
      <c r="J346">
        <v>68</v>
      </c>
      <c r="K346" t="str" cm="1">
        <f t="array" ref="K346">_xlfn.IFS(Table1[[#This Row],[IMDB_Rating]]&gt;=9,"Masterpiece",Table1[[#This Row],[IMDB_Rating]]&gt;=8,"Excellent",Table1[[#This Row],[IMDB_Rating]]&gt;=7,"Good",Table1[[#This Row],[IMDB_Rating]]&lt;7,"Average")</f>
        <v>Good</v>
      </c>
    </row>
    <row r="347" spans="1:11" x14ac:dyDescent="0.35">
      <c r="A347" t="s">
        <v>2005</v>
      </c>
      <c r="B347">
        <v>2012</v>
      </c>
      <c r="C347">
        <v>109</v>
      </c>
      <c r="D347" t="s">
        <v>19</v>
      </c>
      <c r="E347">
        <v>7.6</v>
      </c>
      <c r="F347" t="s">
        <v>2006</v>
      </c>
      <c r="G347" t="s">
        <v>915</v>
      </c>
      <c r="H347">
        <v>228132</v>
      </c>
      <c r="I347">
        <v>41003371</v>
      </c>
      <c r="J347">
        <v>68</v>
      </c>
      <c r="K347" t="str" cm="1">
        <f t="array" ref="K347">_xlfn.IFS(Table1[[#This Row],[IMDB_Rating]]&gt;=9,"Masterpiece",Table1[[#This Row],[IMDB_Rating]]&gt;=8,"Excellent",Table1[[#This Row],[IMDB_Rating]]&gt;=7,"Good",Table1[[#This Row],[IMDB_Rating]]&lt;7,"Average")</f>
        <v>Good</v>
      </c>
    </row>
    <row r="348" spans="1:11" x14ac:dyDescent="0.35">
      <c r="A348" t="s">
        <v>1200</v>
      </c>
      <c r="B348">
        <v>2006</v>
      </c>
      <c r="C348">
        <v>109</v>
      </c>
      <c r="D348" t="s">
        <v>74</v>
      </c>
      <c r="E348">
        <v>7.9</v>
      </c>
      <c r="F348" t="s">
        <v>1184</v>
      </c>
      <c r="G348" t="s">
        <v>1201</v>
      </c>
      <c r="H348">
        <v>465113</v>
      </c>
      <c r="I348">
        <v>35552383</v>
      </c>
      <c r="J348">
        <v>84</v>
      </c>
      <c r="K348" t="str" cm="1">
        <f t="array" ref="K348">_xlfn.IFS(Table1[[#This Row],[IMDB_Rating]]&gt;=9,"Masterpiece",Table1[[#This Row],[IMDB_Rating]]&gt;=8,"Excellent",Table1[[#This Row],[IMDB_Rating]]&gt;=7,"Good",Table1[[#This Row],[IMDB_Rating]]&lt;7,"Average")</f>
        <v>Good</v>
      </c>
    </row>
    <row r="349" spans="1:11" x14ac:dyDescent="0.35">
      <c r="A349" t="s">
        <v>144</v>
      </c>
      <c r="B349">
        <v>1960</v>
      </c>
      <c r="C349">
        <v>109</v>
      </c>
      <c r="D349" t="s">
        <v>145</v>
      </c>
      <c r="E349">
        <v>8.5</v>
      </c>
      <c r="F349" t="s">
        <v>146</v>
      </c>
      <c r="G349" t="s">
        <v>147</v>
      </c>
      <c r="H349">
        <v>604211</v>
      </c>
      <c r="I349">
        <v>32000000</v>
      </c>
      <c r="J349">
        <v>97</v>
      </c>
      <c r="K349" t="str" cm="1">
        <f t="array" ref="K349">_xlfn.IFS(Table1[[#This Row],[IMDB_Rating]]&gt;=9,"Masterpiece",Table1[[#This Row],[IMDB_Rating]]&gt;=8,"Excellent",Table1[[#This Row],[IMDB_Rating]]&gt;=7,"Good",Table1[[#This Row],[IMDB_Rating]]&lt;7,"Average")</f>
        <v>Excellent</v>
      </c>
    </row>
    <row r="350" spans="1:11" x14ac:dyDescent="0.35">
      <c r="A350" t="s">
        <v>1143</v>
      </c>
      <c r="B350">
        <v>2008</v>
      </c>
      <c r="C350">
        <v>109</v>
      </c>
      <c r="D350" t="s">
        <v>11</v>
      </c>
      <c r="E350">
        <v>7.9</v>
      </c>
      <c r="F350" t="s">
        <v>261</v>
      </c>
      <c r="G350" t="s">
        <v>1144</v>
      </c>
      <c r="H350">
        <v>289415</v>
      </c>
      <c r="I350">
        <v>26236603</v>
      </c>
      <c r="J350">
        <v>80</v>
      </c>
      <c r="K350" t="str" cm="1">
        <f t="array" ref="K350">_xlfn.IFS(Table1[[#This Row],[IMDB_Rating]]&gt;=9,"Masterpiece",Table1[[#This Row],[IMDB_Rating]]&gt;=8,"Excellent",Table1[[#This Row],[IMDB_Rating]]&gt;=7,"Good",Table1[[#This Row],[IMDB_Rating]]&lt;7,"Average")</f>
        <v>Good</v>
      </c>
    </row>
    <row r="351" spans="1:11" x14ac:dyDescent="0.35">
      <c r="A351" t="s">
        <v>663</v>
      </c>
      <c r="B351">
        <v>1982</v>
      </c>
      <c r="C351">
        <v>109</v>
      </c>
      <c r="D351" t="s">
        <v>145</v>
      </c>
      <c r="E351">
        <v>8.1</v>
      </c>
      <c r="F351" t="s">
        <v>664</v>
      </c>
      <c r="G351" t="s">
        <v>665</v>
      </c>
      <c r="H351">
        <v>371271</v>
      </c>
      <c r="I351">
        <v>13782838</v>
      </c>
      <c r="J351">
        <v>57</v>
      </c>
      <c r="K351" t="str" cm="1">
        <f t="array" ref="K3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352" spans="1:11" x14ac:dyDescent="0.35">
      <c r="A352" t="s">
        <v>1118</v>
      </c>
      <c r="B352">
        <v>2013</v>
      </c>
      <c r="C352">
        <v>109</v>
      </c>
      <c r="D352" t="s">
        <v>11</v>
      </c>
      <c r="E352">
        <v>7.9</v>
      </c>
      <c r="F352" t="s">
        <v>594</v>
      </c>
      <c r="G352" t="s">
        <v>595</v>
      </c>
      <c r="H352">
        <v>141457</v>
      </c>
      <c r="I352">
        <v>8114627</v>
      </c>
      <c r="J352">
        <v>94</v>
      </c>
      <c r="K352" t="str" cm="1">
        <f t="array" ref="K352">_xlfn.IFS(Table1[[#This Row],[IMDB_Rating]]&gt;=9,"Masterpiece",Table1[[#This Row],[IMDB_Rating]]&gt;=8,"Excellent",Table1[[#This Row],[IMDB_Rating]]&gt;=7,"Good",Table1[[#This Row],[IMDB_Rating]]&lt;7,"Average")</f>
        <v>Good</v>
      </c>
    </row>
    <row r="353" spans="1:11" x14ac:dyDescent="0.35">
      <c r="A353" t="s">
        <v>1903</v>
      </c>
      <c r="B353">
        <v>1972</v>
      </c>
      <c r="C353">
        <v>109</v>
      </c>
      <c r="D353" t="s">
        <v>74</v>
      </c>
      <c r="E353">
        <v>7.7</v>
      </c>
      <c r="F353" t="s">
        <v>1904</v>
      </c>
      <c r="G353" t="s">
        <v>1905</v>
      </c>
      <c r="H353">
        <v>98740</v>
      </c>
      <c r="I353">
        <v>7056013</v>
      </c>
      <c r="J353">
        <v>80</v>
      </c>
      <c r="K353" t="str" cm="1">
        <f t="array" ref="K353">_xlfn.IFS(Table1[[#This Row],[IMDB_Rating]]&gt;=9,"Masterpiece",Table1[[#This Row],[IMDB_Rating]]&gt;=8,"Excellent",Table1[[#This Row],[IMDB_Rating]]&gt;=7,"Good",Table1[[#This Row],[IMDB_Rating]]&lt;7,"Average")</f>
        <v>Good</v>
      </c>
    </row>
    <row r="354" spans="1:11" x14ac:dyDescent="0.35">
      <c r="A354" t="s">
        <v>1567</v>
      </c>
      <c r="B354">
        <v>1982</v>
      </c>
      <c r="C354">
        <v>109</v>
      </c>
      <c r="D354" t="s">
        <v>67</v>
      </c>
      <c r="E354">
        <v>7.8</v>
      </c>
      <c r="F354" t="s">
        <v>55</v>
      </c>
      <c r="G354" t="s">
        <v>56</v>
      </c>
      <c r="H354">
        <v>88511</v>
      </c>
      <c r="I354">
        <v>2500000</v>
      </c>
      <c r="J354">
        <v>73</v>
      </c>
      <c r="K354" t="str" cm="1">
        <f t="array" ref="K354">_xlfn.IFS(Table1[[#This Row],[IMDB_Rating]]&gt;=9,"Masterpiece",Table1[[#This Row],[IMDB_Rating]]&gt;=8,"Excellent",Table1[[#This Row],[IMDB_Rating]]&gt;=7,"Good",Table1[[#This Row],[IMDB_Rating]]&lt;7,"Average")</f>
        <v>Good</v>
      </c>
    </row>
    <row r="355" spans="1:11" x14ac:dyDescent="0.35">
      <c r="A355" t="s">
        <v>1469</v>
      </c>
      <c r="B355">
        <v>2002</v>
      </c>
      <c r="C355">
        <v>109</v>
      </c>
      <c r="D355" t="s">
        <v>15</v>
      </c>
      <c r="E355">
        <v>7.8</v>
      </c>
      <c r="F355" t="s">
        <v>1470</v>
      </c>
      <c r="G355" t="s">
        <v>1471</v>
      </c>
      <c r="H355">
        <v>42673</v>
      </c>
      <c r="I355">
        <v>181655</v>
      </c>
      <c r="J355">
        <v>82</v>
      </c>
      <c r="K355" t="str" cm="1">
        <f t="array" ref="K355">_xlfn.IFS(Table1[[#This Row],[IMDB_Rating]]&gt;=9,"Masterpiece",Table1[[#This Row],[IMDB_Rating]]&gt;=8,"Excellent",Table1[[#This Row],[IMDB_Rating]]&gt;=7,"Good",Table1[[#This Row],[IMDB_Rating]]&lt;7,"Average")</f>
        <v>Good</v>
      </c>
    </row>
    <row r="356" spans="1:11" x14ac:dyDescent="0.35">
      <c r="A356" t="s">
        <v>732</v>
      </c>
      <c r="B356">
        <v>1957</v>
      </c>
      <c r="C356">
        <v>110</v>
      </c>
      <c r="D356" t="s">
        <v>11</v>
      </c>
      <c r="E356">
        <v>8.1</v>
      </c>
      <c r="F356" t="s">
        <v>98</v>
      </c>
      <c r="G356" t="s">
        <v>99</v>
      </c>
      <c r="H356">
        <v>46678</v>
      </c>
      <c r="I356">
        <v>612604239</v>
      </c>
      <c r="K356" t="str" cm="1">
        <f t="array" ref="K3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357" spans="1:11" x14ac:dyDescent="0.35">
      <c r="A357" t="s">
        <v>1947</v>
      </c>
      <c r="B357">
        <v>1946</v>
      </c>
      <c r="C357">
        <v>110</v>
      </c>
      <c r="D357" t="s">
        <v>11</v>
      </c>
      <c r="E357">
        <v>7.7</v>
      </c>
      <c r="F357" t="s">
        <v>1948</v>
      </c>
      <c r="G357" t="s">
        <v>1949</v>
      </c>
      <c r="H357">
        <v>27991</v>
      </c>
      <c r="I357">
        <v>532234536</v>
      </c>
      <c r="K357" t="str" cm="1">
        <f t="array" ref="K357">_xlfn.IFS(Table1[[#This Row],[IMDB_Rating]]&gt;=9,"Masterpiece",Table1[[#This Row],[IMDB_Rating]]&gt;=8,"Excellent",Table1[[#This Row],[IMDB_Rating]]&gt;=7,"Good",Table1[[#This Row],[IMDB_Rating]]&lt;7,"Average")</f>
        <v>Good</v>
      </c>
    </row>
    <row r="358" spans="1:11" x14ac:dyDescent="0.35">
      <c r="A358" t="s">
        <v>1072</v>
      </c>
      <c r="B358">
        <v>1939</v>
      </c>
      <c r="C358">
        <v>110</v>
      </c>
      <c r="D358" t="s">
        <v>67</v>
      </c>
      <c r="E358">
        <v>8</v>
      </c>
      <c r="F358" t="s">
        <v>758</v>
      </c>
      <c r="G358" t="s">
        <v>1073</v>
      </c>
      <c r="H358">
        <v>26725</v>
      </c>
      <c r="I358">
        <v>512863371</v>
      </c>
      <c r="K358" t="str" cm="1">
        <f t="array" ref="K358">_xlfn.IFS(Table1[[#This Row],[IMDB_Rating]]&gt;=9,"Masterpiece",Table1[[#This Row],[IMDB_Rating]]&gt;=8,"Excellent",Table1[[#This Row],[IMDB_Rating]]&gt;=7,"Good",Table1[[#This Row],[IMDB_Rating]]&lt;7,"Average")</f>
        <v>Excellent</v>
      </c>
    </row>
    <row r="359" spans="1:11" x14ac:dyDescent="0.35">
      <c r="A359" t="s">
        <v>221</v>
      </c>
      <c r="B359">
        <v>1950</v>
      </c>
      <c r="C359">
        <v>110</v>
      </c>
      <c r="D359" t="s">
        <v>11</v>
      </c>
      <c r="E359">
        <v>8.4</v>
      </c>
      <c r="F359" t="s">
        <v>216</v>
      </c>
      <c r="G359" t="s">
        <v>222</v>
      </c>
      <c r="H359">
        <v>201632</v>
      </c>
      <c r="I359">
        <v>506055932</v>
      </c>
      <c r="K359" t="str" cm="1">
        <f t="array" ref="K359">_xlfn.IFS(Table1[[#This Row],[IMDB_Rating]]&gt;=9,"Masterpiece",Table1[[#This Row],[IMDB_Rating]]&gt;=8,"Excellent",Table1[[#This Row],[IMDB_Rating]]&gt;=7,"Good",Table1[[#This Row],[IMDB_Rating]]&lt;7,"Average")</f>
        <v>Excellent</v>
      </c>
    </row>
    <row r="360" spans="1:11" x14ac:dyDescent="0.35">
      <c r="A360" t="s">
        <v>454</v>
      </c>
      <c r="B360">
        <v>1961</v>
      </c>
      <c r="C360">
        <v>110</v>
      </c>
      <c r="D360" t="s">
        <v>19</v>
      </c>
      <c r="E360">
        <v>8.1999999999999993</v>
      </c>
      <c r="F360" t="s">
        <v>98</v>
      </c>
      <c r="G360" t="s">
        <v>99</v>
      </c>
      <c r="H360">
        <v>111244</v>
      </c>
      <c r="I360">
        <v>474518350</v>
      </c>
      <c r="K360" t="str" cm="1">
        <f t="array" ref="K3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361" spans="1:11" x14ac:dyDescent="0.35">
      <c r="A361" t="s">
        <v>911</v>
      </c>
      <c r="B361">
        <v>2001</v>
      </c>
      <c r="C361">
        <v>110</v>
      </c>
      <c r="D361" t="s">
        <v>67</v>
      </c>
      <c r="E361">
        <v>8</v>
      </c>
      <c r="F361" t="s">
        <v>912</v>
      </c>
      <c r="G361" t="s">
        <v>875</v>
      </c>
      <c r="H361">
        <v>33592</v>
      </c>
      <c r="I361">
        <v>200178699</v>
      </c>
      <c r="K361" t="str" cm="1">
        <f t="array" ref="K361">_xlfn.IFS(Table1[[#This Row],[IMDB_Rating]]&gt;=9,"Masterpiece",Table1[[#This Row],[IMDB_Rating]]&gt;=8,"Excellent",Table1[[#This Row],[IMDB_Rating]]&gt;=7,"Good",Table1[[#This Row],[IMDB_Rating]]&lt;7,"Average")</f>
        <v>Excellent</v>
      </c>
    </row>
    <row r="362" spans="1:11" x14ac:dyDescent="0.35">
      <c r="A362" t="s">
        <v>2011</v>
      </c>
      <c r="B362">
        <v>2010</v>
      </c>
      <c r="C362">
        <v>110</v>
      </c>
      <c r="D362" t="s">
        <v>11</v>
      </c>
      <c r="E362">
        <v>7.6</v>
      </c>
      <c r="F362" t="s">
        <v>581</v>
      </c>
      <c r="G362" t="s">
        <v>582</v>
      </c>
      <c r="H362">
        <v>311822</v>
      </c>
      <c r="I362">
        <v>171243005</v>
      </c>
      <c r="J362">
        <v>80</v>
      </c>
      <c r="K362" t="str" cm="1">
        <f t="array" ref="K362">_xlfn.IFS(Table1[[#This Row],[IMDB_Rating]]&gt;=9,"Masterpiece",Table1[[#This Row],[IMDB_Rating]]&gt;=8,"Excellent",Table1[[#This Row],[IMDB_Rating]]&gt;=7,"Good",Table1[[#This Row],[IMDB_Rating]]&lt;7,"Average")</f>
        <v>Good</v>
      </c>
    </row>
    <row r="363" spans="1:11" x14ac:dyDescent="0.35">
      <c r="A363" t="s">
        <v>1475</v>
      </c>
      <c r="B363">
        <v>2000</v>
      </c>
      <c r="C363">
        <v>110</v>
      </c>
      <c r="D363" t="s">
        <v>19</v>
      </c>
      <c r="E363">
        <v>7.8</v>
      </c>
      <c r="F363" t="s">
        <v>193</v>
      </c>
      <c r="G363" t="s">
        <v>1476</v>
      </c>
      <c r="H363">
        <v>26518</v>
      </c>
      <c r="I363">
        <v>147161249</v>
      </c>
      <c r="J363">
        <v>58</v>
      </c>
      <c r="K363" t="str" cm="1">
        <f t="array" ref="K363">_xlfn.IFS(Table1[[#This Row],[IMDB_Rating]]&gt;=9,"Masterpiece",Table1[[#This Row],[IMDB_Rating]]&gt;=8,"Excellent",Table1[[#This Row],[IMDB_Rating]]&gt;=7,"Good",Table1[[#This Row],[IMDB_Rating]]&lt;7,"Average")</f>
        <v>Good</v>
      </c>
    </row>
    <row r="364" spans="1:11" x14ac:dyDescent="0.35">
      <c r="A364" t="s">
        <v>1009</v>
      </c>
      <c r="B364">
        <v>1969</v>
      </c>
      <c r="C364">
        <v>110</v>
      </c>
      <c r="D364" t="s">
        <v>34</v>
      </c>
      <c r="E364">
        <v>8</v>
      </c>
      <c r="F364" t="s">
        <v>293</v>
      </c>
      <c r="G364" t="s">
        <v>294</v>
      </c>
      <c r="H364">
        <v>201888</v>
      </c>
      <c r="I364">
        <v>102308889</v>
      </c>
      <c r="J364">
        <v>66</v>
      </c>
      <c r="K364" t="str" cm="1">
        <f t="array" ref="K364">_xlfn.IFS(Table1[[#This Row],[IMDB_Rating]]&gt;=9,"Masterpiece",Table1[[#This Row],[IMDB_Rating]]&gt;=8,"Excellent",Table1[[#This Row],[IMDB_Rating]]&gt;=7,"Good",Table1[[#This Row],[IMDB_Rating]]&lt;7,"Average")</f>
        <v>Excellent</v>
      </c>
    </row>
    <row r="365" spans="1:11" x14ac:dyDescent="0.35">
      <c r="A365" t="s">
        <v>2091</v>
      </c>
      <c r="B365">
        <v>2001</v>
      </c>
      <c r="C365">
        <v>110</v>
      </c>
      <c r="D365" t="s">
        <v>67</v>
      </c>
      <c r="E365">
        <v>7.6</v>
      </c>
      <c r="F365" t="s">
        <v>523</v>
      </c>
      <c r="G365" t="s">
        <v>1543</v>
      </c>
      <c r="H365">
        <v>266842</v>
      </c>
      <c r="I365">
        <v>52364010</v>
      </c>
      <c r="J365">
        <v>76</v>
      </c>
      <c r="K365" t="str" cm="1">
        <f t="array" ref="K365">_xlfn.IFS(Table1[[#This Row],[IMDB_Rating]]&gt;=9,"Masterpiece",Table1[[#This Row],[IMDB_Rating]]&gt;=8,"Excellent",Table1[[#This Row],[IMDB_Rating]]&gt;=7,"Good",Table1[[#This Row],[IMDB_Rating]]&lt;7,"Average")</f>
        <v>Good</v>
      </c>
    </row>
    <row r="366" spans="1:11" x14ac:dyDescent="0.35">
      <c r="A366" t="s">
        <v>1924</v>
      </c>
      <c r="B366">
        <v>1964</v>
      </c>
      <c r="C366">
        <v>110</v>
      </c>
      <c r="D366" t="s">
        <v>19</v>
      </c>
      <c r="E366">
        <v>7.7</v>
      </c>
      <c r="F366" t="s">
        <v>1925</v>
      </c>
      <c r="G366" t="s">
        <v>1577</v>
      </c>
      <c r="H366">
        <v>174119</v>
      </c>
      <c r="I366">
        <v>51081062</v>
      </c>
      <c r="J366">
        <v>87</v>
      </c>
      <c r="K366" t="str" cm="1">
        <f t="array" ref="K366">_xlfn.IFS(Table1[[#This Row],[IMDB_Rating]]&gt;=9,"Masterpiece",Table1[[#This Row],[IMDB_Rating]]&gt;=8,"Excellent",Table1[[#This Row],[IMDB_Rating]]&gt;=7,"Good",Table1[[#This Row],[IMDB_Rating]]&lt;7,"Average")</f>
        <v>Good</v>
      </c>
    </row>
    <row r="367" spans="1:11" x14ac:dyDescent="0.35">
      <c r="A367" t="s">
        <v>2054</v>
      </c>
      <c r="B367">
        <v>2006</v>
      </c>
      <c r="C367">
        <v>110</v>
      </c>
      <c r="D367" t="s">
        <v>11</v>
      </c>
      <c r="E367">
        <v>7.6</v>
      </c>
      <c r="F367" t="s">
        <v>2055</v>
      </c>
      <c r="G367" t="s">
        <v>122</v>
      </c>
      <c r="H367">
        <v>354728</v>
      </c>
      <c r="I367">
        <v>39868642</v>
      </c>
      <c r="J367">
        <v>68</v>
      </c>
      <c r="K367" t="str" cm="1">
        <f t="array" ref="K367">_xlfn.IFS(Table1[[#This Row],[IMDB_Rating]]&gt;=9,"Masterpiece",Table1[[#This Row],[IMDB_Rating]]&gt;=8,"Excellent",Table1[[#This Row],[IMDB_Rating]]&gt;=7,"Good",Table1[[#This Row],[IMDB_Rating]]&lt;7,"Average")</f>
        <v>Good</v>
      </c>
    </row>
    <row r="368" spans="1:11" x14ac:dyDescent="0.35">
      <c r="A368" t="s">
        <v>1266</v>
      </c>
      <c r="B368">
        <v>1967</v>
      </c>
      <c r="C368">
        <v>110</v>
      </c>
      <c r="D368" t="s">
        <v>15</v>
      </c>
      <c r="E368">
        <v>7.9</v>
      </c>
      <c r="F368" t="s">
        <v>1004</v>
      </c>
      <c r="G368" t="s">
        <v>1267</v>
      </c>
      <c r="H368">
        <v>67804</v>
      </c>
      <c r="I368">
        <v>24379978</v>
      </c>
      <c r="J368">
        <v>75</v>
      </c>
      <c r="K368" t="str" cm="1">
        <f t="array" ref="K368">_xlfn.IFS(Table1[[#This Row],[IMDB_Rating]]&gt;=9,"Masterpiece",Table1[[#This Row],[IMDB_Rating]]&gt;=8,"Excellent",Table1[[#This Row],[IMDB_Rating]]&gt;=7,"Good",Table1[[#This Row],[IMDB_Rating]]&lt;7,"Average")</f>
        <v>Good</v>
      </c>
    </row>
    <row r="369" spans="1:11" x14ac:dyDescent="0.35">
      <c r="A369" t="s">
        <v>1739</v>
      </c>
      <c r="B369">
        <v>2006</v>
      </c>
      <c r="C369">
        <v>110</v>
      </c>
      <c r="D369" t="s">
        <v>19</v>
      </c>
      <c r="E369">
        <v>7.7</v>
      </c>
      <c r="F369" t="s">
        <v>1740</v>
      </c>
      <c r="G369" t="s">
        <v>1741</v>
      </c>
      <c r="H369">
        <v>299524</v>
      </c>
      <c r="I369">
        <v>22494487</v>
      </c>
      <c r="J369">
        <v>53</v>
      </c>
      <c r="K369" t="str" cm="1">
        <f t="array" ref="K369">_xlfn.IFS(Table1[[#This Row],[IMDB_Rating]]&gt;=9,"Masterpiece",Table1[[#This Row],[IMDB_Rating]]&gt;=8,"Excellent",Table1[[#This Row],[IMDB_Rating]]&gt;=7,"Good",Table1[[#This Row],[IMDB_Rating]]&lt;7,"Average")</f>
        <v>Good</v>
      </c>
    </row>
    <row r="370" spans="1:11" x14ac:dyDescent="0.35">
      <c r="A370" t="s">
        <v>1786</v>
      </c>
      <c r="B370">
        <v>2000</v>
      </c>
      <c r="C370">
        <v>110</v>
      </c>
      <c r="D370" t="s">
        <v>11</v>
      </c>
      <c r="E370">
        <v>7.7</v>
      </c>
      <c r="F370" t="s">
        <v>1787</v>
      </c>
      <c r="G370" t="s">
        <v>1788</v>
      </c>
      <c r="H370">
        <v>126770</v>
      </c>
      <c r="I370">
        <v>21995263</v>
      </c>
      <c r="J370">
        <v>74</v>
      </c>
      <c r="K370" t="str" cm="1">
        <f t="array" ref="K370">_xlfn.IFS(Table1[[#This Row],[IMDB_Rating]]&gt;=9,"Masterpiece",Table1[[#This Row],[IMDB_Rating]]&gt;=8,"Excellent",Table1[[#This Row],[IMDB_Rating]]&gt;=7,"Good",Table1[[#This Row],[IMDB_Rating]]&lt;7,"Average")</f>
        <v>Good</v>
      </c>
    </row>
    <row r="371" spans="1:11" x14ac:dyDescent="0.35">
      <c r="A371" t="s">
        <v>126</v>
      </c>
      <c r="B371">
        <v>1994</v>
      </c>
      <c r="C371">
        <v>110</v>
      </c>
      <c r="D371" t="s">
        <v>19</v>
      </c>
      <c r="E371">
        <v>8.5</v>
      </c>
      <c r="F371" t="s">
        <v>127</v>
      </c>
      <c r="G371" t="s">
        <v>128</v>
      </c>
      <c r="H371">
        <v>1035236</v>
      </c>
      <c r="I371">
        <v>19501238</v>
      </c>
      <c r="J371">
        <v>64</v>
      </c>
      <c r="K371" t="str" cm="1">
        <f t="array" ref="K3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372" spans="1:11" x14ac:dyDescent="0.35">
      <c r="A372" t="s">
        <v>927</v>
      </c>
      <c r="B372">
        <v>1998</v>
      </c>
      <c r="C372">
        <v>110</v>
      </c>
      <c r="D372" t="s">
        <v>11</v>
      </c>
      <c r="E372">
        <v>8</v>
      </c>
      <c r="F372" t="s">
        <v>928</v>
      </c>
      <c r="G372" t="s">
        <v>929</v>
      </c>
      <c r="H372">
        <v>36419</v>
      </c>
      <c r="I372">
        <v>5595428</v>
      </c>
      <c r="J372">
        <v>80</v>
      </c>
      <c r="K372" t="str" cm="1">
        <f t="array" ref="K37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73" spans="1:11" x14ac:dyDescent="0.35">
      <c r="A373" t="s">
        <v>729</v>
      </c>
      <c r="B373">
        <v>1957</v>
      </c>
      <c r="C373">
        <v>110</v>
      </c>
      <c r="D373" t="s">
        <v>11</v>
      </c>
      <c r="E373">
        <v>8.1</v>
      </c>
      <c r="F373" t="s">
        <v>730</v>
      </c>
      <c r="G373" t="s">
        <v>731</v>
      </c>
      <c r="H373">
        <v>42940</v>
      </c>
      <c r="I373">
        <v>752045</v>
      </c>
      <c r="K373" t="str" cm="1">
        <f t="array" ref="K3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374" spans="1:11" x14ac:dyDescent="0.35">
      <c r="A374" t="s">
        <v>884</v>
      </c>
      <c r="B374">
        <v>2003</v>
      </c>
      <c r="C374">
        <v>110</v>
      </c>
      <c r="D374" t="s">
        <v>11</v>
      </c>
      <c r="E374">
        <v>8</v>
      </c>
      <c r="F374" t="s">
        <v>885</v>
      </c>
      <c r="G374" t="s">
        <v>886</v>
      </c>
      <c r="H374">
        <v>42399</v>
      </c>
      <c r="I374">
        <v>502028</v>
      </c>
      <c r="J374">
        <v>82</v>
      </c>
      <c r="K374" t="str" cm="1">
        <f t="array" ref="K374">_xlfn.IFS(Table1[[#This Row],[IMDB_Rating]]&gt;=9,"Masterpiece",Table1[[#This Row],[IMDB_Rating]]&gt;=8,"Excellent",Table1[[#This Row],[IMDB_Rating]]&gt;=7,"Good",Table1[[#This Row],[IMDB_Rating]]&lt;7,"Average")</f>
        <v>Excellent</v>
      </c>
    </row>
    <row r="375" spans="1:11" x14ac:dyDescent="0.35">
      <c r="A375" t="s">
        <v>762</v>
      </c>
      <c r="B375">
        <v>1928</v>
      </c>
      <c r="C375">
        <v>110</v>
      </c>
      <c r="D375" t="s">
        <v>34</v>
      </c>
      <c r="E375">
        <v>8.1</v>
      </c>
      <c r="F375" t="s">
        <v>763</v>
      </c>
      <c r="G375" t="s">
        <v>764</v>
      </c>
      <c r="H375">
        <v>47676</v>
      </c>
      <c r="I375">
        <v>21877</v>
      </c>
      <c r="K375" t="str" cm="1">
        <f t="array" ref="K375">_xlfn.IFS(Table1[[#This Row],[IMDB_Rating]]&gt;=9,"Masterpiece",Table1[[#This Row],[IMDB_Rating]]&gt;=8,"Excellent",Table1[[#This Row],[IMDB_Rating]]&gt;=7,"Good",Table1[[#This Row],[IMDB_Rating]]&lt;7,"Average")</f>
        <v>Excellent</v>
      </c>
    </row>
    <row r="376" spans="1:11" x14ac:dyDescent="0.35">
      <c r="A376" t="s">
        <v>1596</v>
      </c>
      <c r="B376">
        <v>1967</v>
      </c>
      <c r="C376">
        <v>111</v>
      </c>
      <c r="D376" t="s">
        <v>19</v>
      </c>
      <c r="E376">
        <v>7.8</v>
      </c>
      <c r="F376" t="s">
        <v>1597</v>
      </c>
      <c r="G376" t="s">
        <v>1598</v>
      </c>
      <c r="H376">
        <v>102415</v>
      </c>
      <c r="I376">
        <v>909838190</v>
      </c>
      <c r="J376">
        <v>86</v>
      </c>
      <c r="K376" t="str" cm="1">
        <f t="array" ref="K376">_xlfn.IFS(Table1[[#This Row],[IMDB_Rating]]&gt;=9,"Masterpiece",Table1[[#This Row],[IMDB_Rating]]&gt;=8,"Excellent",Table1[[#This Row],[IMDB_Rating]]&gt;=7,"Good",Table1[[#This Row],[IMDB_Rating]]&lt;7,"Average")</f>
        <v>Good</v>
      </c>
    </row>
    <row r="377" spans="1:11" x14ac:dyDescent="0.35">
      <c r="A377" t="s">
        <v>2177</v>
      </c>
      <c r="B377">
        <v>1966</v>
      </c>
      <c r="C377">
        <v>111</v>
      </c>
      <c r="D377" t="s">
        <v>11</v>
      </c>
      <c r="E377">
        <v>7.6</v>
      </c>
      <c r="F377" t="s">
        <v>1274</v>
      </c>
      <c r="G377" t="s">
        <v>2178</v>
      </c>
      <c r="H377">
        <v>56513</v>
      </c>
      <c r="I377">
        <v>632532802</v>
      </c>
      <c r="J377">
        <v>82</v>
      </c>
      <c r="K377" t="str" cm="1">
        <f t="array" ref="K377">_xlfn.IFS(Table1[[#This Row],[IMDB_Rating]]&gt;=9,"Masterpiece",Table1[[#This Row],[IMDB_Rating]]&gt;=8,"Excellent",Table1[[#This Row],[IMDB_Rating]]&gt;=7,"Good",Table1[[#This Row],[IMDB_Rating]]&lt;7,"Average")</f>
        <v>Good</v>
      </c>
    </row>
    <row r="378" spans="1:11" x14ac:dyDescent="0.35">
      <c r="A378" t="s">
        <v>1540</v>
      </c>
      <c r="B378">
        <v>1989</v>
      </c>
      <c r="C378">
        <v>111</v>
      </c>
      <c r="D378" t="s">
        <v>19</v>
      </c>
      <c r="E378">
        <v>7.8</v>
      </c>
      <c r="F378" t="s">
        <v>1524</v>
      </c>
      <c r="G378" t="s">
        <v>1484</v>
      </c>
      <c r="H378">
        <v>45624</v>
      </c>
      <c r="I378">
        <v>549325150</v>
      </c>
      <c r="J378">
        <v>82</v>
      </c>
      <c r="K378" t="str" cm="1">
        <f t="array" ref="K378">_xlfn.IFS(Table1[[#This Row],[IMDB_Rating]]&gt;=9,"Masterpiece",Table1[[#This Row],[IMDB_Rating]]&gt;=8,"Excellent",Table1[[#This Row],[IMDB_Rating]]&gt;=7,"Good",Table1[[#This Row],[IMDB_Rating]]&lt;7,"Average")</f>
        <v>Good</v>
      </c>
    </row>
    <row r="379" spans="1:11" x14ac:dyDescent="0.35">
      <c r="A379" t="s">
        <v>1939</v>
      </c>
      <c r="B379">
        <v>1955</v>
      </c>
      <c r="C379">
        <v>111</v>
      </c>
      <c r="D379" t="s">
        <v>11</v>
      </c>
      <c r="E379">
        <v>7.7</v>
      </c>
      <c r="F379" t="s">
        <v>1055</v>
      </c>
      <c r="G379" t="s">
        <v>1283</v>
      </c>
      <c r="H379">
        <v>83363</v>
      </c>
      <c r="I379">
        <v>293034391</v>
      </c>
      <c r="J379">
        <v>89</v>
      </c>
      <c r="K379" t="str" cm="1">
        <f t="array" ref="K379">_xlfn.IFS(Table1[[#This Row],[IMDB_Rating]]&gt;=9,"Masterpiece",Table1[[#This Row],[IMDB_Rating]]&gt;=8,"Excellent",Table1[[#This Row],[IMDB_Rating]]&gt;=7,"Good",Table1[[#This Row],[IMDB_Rating]]&lt;7,"Average")</f>
        <v>Good</v>
      </c>
    </row>
    <row r="380" spans="1:11" x14ac:dyDescent="0.35">
      <c r="A380" t="s">
        <v>1211</v>
      </c>
      <c r="B380">
        <v>1995</v>
      </c>
      <c r="C380">
        <v>111</v>
      </c>
      <c r="D380" t="s">
        <v>80</v>
      </c>
      <c r="E380">
        <v>7.9</v>
      </c>
      <c r="F380" t="s">
        <v>1212</v>
      </c>
      <c r="G380" t="s">
        <v>1213</v>
      </c>
      <c r="H380">
        <v>51943</v>
      </c>
      <c r="I380">
        <v>252243550</v>
      </c>
      <c r="J380">
        <v>75</v>
      </c>
      <c r="K380" t="str" cm="1">
        <f t="array" ref="K380">_xlfn.IFS(Table1[[#This Row],[IMDB_Rating]]&gt;=9,"Masterpiece",Table1[[#This Row],[IMDB_Rating]]&gt;=8,"Excellent",Table1[[#This Row],[IMDB_Rating]]&gt;=7,"Good",Table1[[#This Row],[IMDB_Rating]]&lt;7,"Average")</f>
        <v>Good</v>
      </c>
    </row>
    <row r="381" spans="1:11" x14ac:dyDescent="0.35">
      <c r="A381" t="s">
        <v>877</v>
      </c>
      <c r="B381">
        <v>2007</v>
      </c>
      <c r="C381">
        <v>111</v>
      </c>
      <c r="D381" t="s">
        <v>80</v>
      </c>
      <c r="E381">
        <v>8</v>
      </c>
      <c r="F381" t="s">
        <v>878</v>
      </c>
      <c r="G381" t="s">
        <v>879</v>
      </c>
      <c r="H381">
        <v>641645</v>
      </c>
      <c r="I381">
        <v>206445654</v>
      </c>
      <c r="J381">
        <v>96</v>
      </c>
      <c r="K381" t="str" cm="1">
        <f t="array" ref="K381">_xlfn.IFS(Table1[[#This Row],[IMDB_Rating]]&gt;=9,"Masterpiece",Table1[[#This Row],[IMDB_Rating]]&gt;=8,"Excellent",Table1[[#This Row],[IMDB_Rating]]&gt;=7,"Good",Table1[[#This Row],[IMDB_Rating]]&lt;7,"Average")</f>
        <v>Excellent</v>
      </c>
    </row>
    <row r="382" spans="1:11" x14ac:dyDescent="0.35">
      <c r="A382" t="s">
        <v>599</v>
      </c>
      <c r="B382">
        <v>2003</v>
      </c>
      <c r="C382">
        <v>111</v>
      </c>
      <c r="D382" t="s">
        <v>19</v>
      </c>
      <c r="E382">
        <v>8.1</v>
      </c>
      <c r="F382" t="s">
        <v>31</v>
      </c>
      <c r="G382" t="s">
        <v>600</v>
      </c>
      <c r="H382">
        <v>1000639</v>
      </c>
      <c r="I382">
        <v>70099045</v>
      </c>
      <c r="J382">
        <v>69</v>
      </c>
      <c r="K382" t="str" cm="1">
        <f t="array" ref="K382">_xlfn.IFS(Table1[[#This Row],[IMDB_Rating]]&gt;=9,"Masterpiece",Table1[[#This Row],[IMDB_Rating]]&gt;=8,"Excellent",Table1[[#This Row],[IMDB_Rating]]&gt;=7,"Good",Table1[[#This Row],[IMDB_Rating]]&lt;7,"Average")</f>
        <v>Excellent</v>
      </c>
    </row>
    <row r="383" spans="1:11" x14ac:dyDescent="0.35">
      <c r="A383" t="s">
        <v>1963</v>
      </c>
      <c r="B383">
        <v>2017</v>
      </c>
      <c r="C383">
        <v>111</v>
      </c>
      <c r="D383" t="s">
        <v>11</v>
      </c>
      <c r="E383">
        <v>7.6</v>
      </c>
      <c r="F383" t="s">
        <v>1964</v>
      </c>
      <c r="G383" t="s">
        <v>1965</v>
      </c>
      <c r="H383">
        <v>95181</v>
      </c>
      <c r="I383">
        <v>5904366</v>
      </c>
      <c r="J383">
        <v>92</v>
      </c>
      <c r="K383" t="str" cm="1">
        <f t="array" ref="K383">_xlfn.IFS(Table1[[#This Row],[IMDB_Rating]]&gt;=9,"Masterpiece",Table1[[#This Row],[IMDB_Rating]]&gt;=8,"Excellent",Table1[[#This Row],[IMDB_Rating]]&gt;=7,"Good",Table1[[#This Row],[IMDB_Rating]]&lt;7,"Average")</f>
        <v>Good</v>
      </c>
    </row>
    <row r="384" spans="1:11" x14ac:dyDescent="0.35">
      <c r="A384" t="s">
        <v>739</v>
      </c>
      <c r="B384">
        <v>1951</v>
      </c>
      <c r="C384">
        <v>111</v>
      </c>
      <c r="D384" t="s">
        <v>11</v>
      </c>
      <c r="E384">
        <v>8.1</v>
      </c>
      <c r="F384" t="s">
        <v>216</v>
      </c>
      <c r="G384" t="s">
        <v>219</v>
      </c>
      <c r="H384">
        <v>31568</v>
      </c>
      <c r="I384">
        <v>3969893</v>
      </c>
      <c r="J384">
        <v>72</v>
      </c>
      <c r="K384" t="str" cm="1">
        <f t="array" ref="K3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385" spans="1:11" x14ac:dyDescent="0.35">
      <c r="A385" t="s">
        <v>1674</v>
      </c>
      <c r="B385">
        <v>2012</v>
      </c>
      <c r="C385">
        <v>111</v>
      </c>
      <c r="D385" t="s">
        <v>11</v>
      </c>
      <c r="E385">
        <v>7.7</v>
      </c>
      <c r="F385" t="s">
        <v>1675</v>
      </c>
      <c r="G385" t="s">
        <v>1676</v>
      </c>
      <c r="H385">
        <v>39379</v>
      </c>
      <c r="I385">
        <v>175058</v>
      </c>
      <c r="J385">
        <v>70</v>
      </c>
      <c r="K385" t="str" cm="1">
        <f t="array" ref="K385">_xlfn.IFS(Table1[[#This Row],[IMDB_Rating]]&gt;=9,"Masterpiece",Table1[[#This Row],[IMDB_Rating]]&gt;=8,"Excellent",Table1[[#This Row],[IMDB_Rating]]&gt;=7,"Good",Table1[[#This Row],[IMDB_Rating]]&lt;7,"Average")</f>
        <v>Good</v>
      </c>
    </row>
    <row r="386" spans="1:11" x14ac:dyDescent="0.35">
      <c r="A386" t="s">
        <v>1297</v>
      </c>
      <c r="B386">
        <v>1940</v>
      </c>
      <c r="C386">
        <v>112</v>
      </c>
      <c r="D386" t="s">
        <v>67</v>
      </c>
      <c r="E386">
        <v>7.9</v>
      </c>
      <c r="F386" t="s">
        <v>756</v>
      </c>
      <c r="G386" t="s">
        <v>306</v>
      </c>
      <c r="H386">
        <v>63550</v>
      </c>
      <c r="I386">
        <v>463399372</v>
      </c>
      <c r="J386">
        <v>96</v>
      </c>
      <c r="K386" t="str" cm="1">
        <f t="array" ref="K386">_xlfn.IFS(Table1[[#This Row],[IMDB_Rating]]&gt;=9,"Masterpiece",Table1[[#This Row],[IMDB_Rating]]&gt;=8,"Excellent",Table1[[#This Row],[IMDB_Rating]]&gt;=7,"Good",Table1[[#This Row],[IMDB_Rating]]&lt;7,"Average")</f>
        <v>Good</v>
      </c>
    </row>
    <row r="387" spans="1:11" x14ac:dyDescent="0.35">
      <c r="A387" t="s">
        <v>247</v>
      </c>
      <c r="B387">
        <v>2005</v>
      </c>
      <c r="C387">
        <v>112</v>
      </c>
      <c r="D387" t="s">
        <v>11</v>
      </c>
      <c r="E387">
        <v>8.3000000000000007</v>
      </c>
      <c r="F387" t="s">
        <v>248</v>
      </c>
      <c r="G387" t="s">
        <v>249</v>
      </c>
      <c r="H387">
        <v>78925</v>
      </c>
      <c r="I387">
        <v>461855363</v>
      </c>
      <c r="K387" t="str" cm="1">
        <f t="array" ref="K387">_xlfn.IFS(Table1[[#This Row],[IMDB_Rating]]&gt;=9,"Masterpiece",Table1[[#This Row],[IMDB_Rating]]&gt;=8,"Excellent",Table1[[#This Row],[IMDB_Rating]]&gt;=7,"Good",Table1[[#This Row],[IMDB_Rating]]&lt;7,"Average")</f>
        <v>Excellent</v>
      </c>
    </row>
    <row r="388" spans="1:11" x14ac:dyDescent="0.35">
      <c r="A388" t="s">
        <v>2002</v>
      </c>
      <c r="B388">
        <v>2012</v>
      </c>
      <c r="C388">
        <v>112</v>
      </c>
      <c r="D388" t="s">
        <v>196</v>
      </c>
      <c r="E388">
        <v>7.6</v>
      </c>
      <c r="F388" t="s">
        <v>494</v>
      </c>
      <c r="G388" t="s">
        <v>2003</v>
      </c>
      <c r="H388">
        <v>57549</v>
      </c>
      <c r="I388">
        <v>140340673</v>
      </c>
      <c r="K388" t="str" cm="1">
        <f t="array" ref="K388">_xlfn.IFS(Table1[[#This Row],[IMDB_Rating]]&gt;=9,"Masterpiece",Table1[[#This Row],[IMDB_Rating]]&gt;=8,"Excellent",Table1[[#This Row],[IMDB_Rating]]&gt;=7,"Good",Table1[[#This Row],[IMDB_Rating]]&lt;7,"Average")</f>
        <v>Good</v>
      </c>
    </row>
    <row r="389" spans="1:11" x14ac:dyDescent="0.35">
      <c r="A389" t="s">
        <v>1140</v>
      </c>
      <c r="B389">
        <v>2009</v>
      </c>
      <c r="C389">
        <v>112</v>
      </c>
      <c r="D389" t="s">
        <v>19</v>
      </c>
      <c r="E389">
        <v>7.9</v>
      </c>
      <c r="F389" t="s">
        <v>1141</v>
      </c>
      <c r="G389" t="s">
        <v>1142</v>
      </c>
      <c r="H389">
        <v>638202</v>
      </c>
      <c r="I389">
        <v>115646235</v>
      </c>
      <c r="J389">
        <v>81</v>
      </c>
      <c r="K389" t="str" cm="1">
        <f t="array" ref="K389">_xlfn.IFS(Table1[[#This Row],[IMDB_Rating]]&gt;=9,"Masterpiece",Table1[[#This Row],[IMDB_Rating]]&gt;=8,"Excellent",Table1[[#This Row],[IMDB_Rating]]&gt;=7,"Good",Table1[[#This Row],[IMDB_Rating]]&lt;7,"Average")</f>
        <v>Good</v>
      </c>
    </row>
    <row r="390" spans="1:11" x14ac:dyDescent="0.35">
      <c r="A390" t="s">
        <v>1846</v>
      </c>
      <c r="B390">
        <v>1992</v>
      </c>
      <c r="C390">
        <v>112</v>
      </c>
      <c r="D390" t="s">
        <v>19</v>
      </c>
      <c r="E390">
        <v>7.7</v>
      </c>
      <c r="F390" t="s">
        <v>417</v>
      </c>
      <c r="G390" t="s">
        <v>384</v>
      </c>
      <c r="H390">
        <v>150409</v>
      </c>
      <c r="I390">
        <v>75505856</v>
      </c>
      <c r="J390">
        <v>76</v>
      </c>
      <c r="K390" t="str" cm="1">
        <f t="array" ref="K390">_xlfn.IFS(Table1[[#This Row],[IMDB_Rating]]&gt;=9,"Masterpiece",Table1[[#This Row],[IMDB_Rating]]&gt;=8,"Excellent",Table1[[#This Row],[IMDB_Rating]]&gt;=7,"Good",Table1[[#This Row],[IMDB_Rating]]&lt;7,"Average")</f>
        <v>Good</v>
      </c>
    </row>
    <row r="391" spans="1:11" x14ac:dyDescent="0.35">
      <c r="A391" t="s">
        <v>1529</v>
      </c>
      <c r="B391">
        <v>1991</v>
      </c>
      <c r="C391">
        <v>112</v>
      </c>
      <c r="D391" t="s">
        <v>15</v>
      </c>
      <c r="E391">
        <v>7.8</v>
      </c>
      <c r="F391" t="s">
        <v>1530</v>
      </c>
      <c r="G391" t="s">
        <v>1531</v>
      </c>
      <c r="H391">
        <v>126082</v>
      </c>
      <c r="I391">
        <v>57504069</v>
      </c>
      <c r="J391">
        <v>76</v>
      </c>
      <c r="K391" t="str" cm="1">
        <f t="array" ref="K391">_xlfn.IFS(Table1[[#This Row],[IMDB_Rating]]&gt;=9,"Masterpiece",Table1[[#This Row],[IMDB_Rating]]&gt;=8,"Excellent",Table1[[#This Row],[IMDB_Rating]]&gt;=7,"Good",Table1[[#This Row],[IMDB_Rating]]&lt;7,"Average")</f>
        <v>Good</v>
      </c>
    </row>
    <row r="392" spans="1:11" x14ac:dyDescent="0.35">
      <c r="A392" t="s">
        <v>1755</v>
      </c>
      <c r="B392">
        <v>2004</v>
      </c>
      <c r="C392">
        <v>112</v>
      </c>
      <c r="D392" t="s">
        <v>15</v>
      </c>
      <c r="E392">
        <v>7.7</v>
      </c>
      <c r="F392" t="s">
        <v>1756</v>
      </c>
      <c r="G392" t="s">
        <v>589</v>
      </c>
      <c r="H392">
        <v>419483</v>
      </c>
      <c r="I392">
        <v>54580300</v>
      </c>
      <c r="J392">
        <v>66</v>
      </c>
      <c r="K392" t="str" cm="1">
        <f t="array" ref="K392">_xlfn.IFS(Table1[[#This Row],[IMDB_Rating]]&gt;=9,"Masterpiece",Table1[[#This Row],[IMDB_Rating]]&gt;=8,"Excellent",Table1[[#This Row],[IMDB_Rating]]&gt;=7,"Good",Table1[[#This Row],[IMDB_Rating]]&lt;7,"Average")</f>
        <v>Good</v>
      </c>
    </row>
    <row r="393" spans="1:11" x14ac:dyDescent="0.35">
      <c r="A393" t="s">
        <v>2161</v>
      </c>
      <c r="B393">
        <v>1979</v>
      </c>
      <c r="C393">
        <v>112</v>
      </c>
      <c r="D393" t="s">
        <v>19</v>
      </c>
      <c r="E393">
        <v>7.6</v>
      </c>
      <c r="F393" t="s">
        <v>1908</v>
      </c>
      <c r="G393" t="s">
        <v>49</v>
      </c>
      <c r="H393">
        <v>121731</v>
      </c>
      <c r="I393">
        <v>43000000</v>
      </c>
      <c r="J393">
        <v>76</v>
      </c>
      <c r="K393" t="str" cm="1">
        <f t="array" ref="K393">_xlfn.IFS(Table1[[#This Row],[IMDB_Rating]]&gt;=9,"Masterpiece",Table1[[#This Row],[IMDB_Rating]]&gt;=8,"Excellent",Table1[[#This Row],[IMDB_Rating]]&gt;=7,"Good",Table1[[#This Row],[IMDB_Rating]]&lt;7,"Average")</f>
        <v>Good</v>
      </c>
    </row>
    <row r="394" spans="1:11" x14ac:dyDescent="0.35">
      <c r="A394" t="s">
        <v>220</v>
      </c>
      <c r="B394">
        <v>1954</v>
      </c>
      <c r="C394">
        <v>112</v>
      </c>
      <c r="D394" t="s">
        <v>196</v>
      </c>
      <c r="E394">
        <v>8.4</v>
      </c>
      <c r="F394" t="s">
        <v>146</v>
      </c>
      <c r="G394" t="s">
        <v>102</v>
      </c>
      <c r="H394">
        <v>444074</v>
      </c>
      <c r="I394">
        <v>36764313</v>
      </c>
      <c r="J394">
        <v>100</v>
      </c>
      <c r="K394" t="str" cm="1">
        <f t="array" ref="K394">_xlfn.IFS(Table1[[#This Row],[IMDB_Rating]]&gt;=9,"Masterpiece",Table1[[#This Row],[IMDB_Rating]]&gt;=8,"Excellent",Table1[[#This Row],[IMDB_Rating]]&gt;=7,"Good",Table1[[#This Row],[IMDB_Rating]]&lt;7,"Average")</f>
        <v>Excellent</v>
      </c>
    </row>
    <row r="395" spans="1:11" x14ac:dyDescent="0.35">
      <c r="A395" t="s">
        <v>1012</v>
      </c>
      <c r="B395">
        <v>1968</v>
      </c>
      <c r="C395">
        <v>112</v>
      </c>
      <c r="D395" t="s">
        <v>74</v>
      </c>
      <c r="E395">
        <v>8</v>
      </c>
      <c r="F395" t="s">
        <v>997</v>
      </c>
      <c r="G395" t="s">
        <v>727</v>
      </c>
      <c r="H395">
        <v>165167</v>
      </c>
      <c r="I395">
        <v>33395426</v>
      </c>
      <c r="J395">
        <v>79</v>
      </c>
      <c r="K395" t="str" cm="1">
        <f t="array" ref="K395">_xlfn.IFS(Table1[[#This Row],[IMDB_Rating]]&gt;=9,"Masterpiece",Table1[[#This Row],[IMDB_Rating]]&gt;=8,"Excellent",Table1[[#This Row],[IMDB_Rating]]&gt;=7,"Good",Table1[[#This Row],[IMDB_Rating]]&lt;7,"Average")</f>
        <v>Excellent</v>
      </c>
    </row>
    <row r="396" spans="1:11" x14ac:dyDescent="0.35">
      <c r="A396" t="s">
        <v>109</v>
      </c>
      <c r="B396">
        <v>2011</v>
      </c>
      <c r="C396">
        <v>112</v>
      </c>
      <c r="D396" t="s">
        <v>34</v>
      </c>
      <c r="E396">
        <v>8.5</v>
      </c>
      <c r="F396" t="s">
        <v>110</v>
      </c>
      <c r="G396" t="s">
        <v>111</v>
      </c>
      <c r="H396">
        <v>760360</v>
      </c>
      <c r="I396">
        <v>13182281</v>
      </c>
      <c r="J396">
        <v>57</v>
      </c>
      <c r="K396" t="str" cm="1">
        <f t="array" ref="K396">_xlfn.IFS(Table1[[#This Row],[IMDB_Rating]]&gt;=9,"Masterpiece",Table1[[#This Row],[IMDB_Rating]]&gt;=8,"Excellent",Table1[[#This Row],[IMDB_Rating]]&gt;=7,"Good",Table1[[#This Row],[IMDB_Rating]]&lt;7,"Average")</f>
        <v>Excellent</v>
      </c>
    </row>
    <row r="397" spans="1:11" x14ac:dyDescent="0.35">
      <c r="A397" t="s">
        <v>1187</v>
      </c>
      <c r="B397">
        <v>2002</v>
      </c>
      <c r="C397">
        <v>112</v>
      </c>
      <c r="D397" t="s">
        <v>11</v>
      </c>
      <c r="E397">
        <v>7.9</v>
      </c>
      <c r="F397" t="s">
        <v>1188</v>
      </c>
      <c r="G397" t="s">
        <v>1189</v>
      </c>
      <c r="H397">
        <v>104691</v>
      </c>
      <c r="I397">
        <v>9284265</v>
      </c>
      <c r="J397">
        <v>86</v>
      </c>
      <c r="K397" t="str" cm="1">
        <f t="array" ref="K397">_xlfn.IFS(Table1[[#This Row],[IMDB_Rating]]&gt;=9,"Masterpiece",Table1[[#This Row],[IMDB_Rating]]&gt;=8,"Excellent",Table1[[#This Row],[IMDB_Rating]]&gt;=7,"Good",Table1[[#This Row],[IMDB_Rating]]&lt;7,"Average")</f>
        <v>Good</v>
      </c>
    </row>
    <row r="398" spans="1:11" x14ac:dyDescent="0.35">
      <c r="A398" t="s">
        <v>920</v>
      </c>
      <c r="B398">
        <v>1999</v>
      </c>
      <c r="C398">
        <v>112</v>
      </c>
      <c r="D398" t="s">
        <v>34</v>
      </c>
      <c r="E398">
        <v>8</v>
      </c>
      <c r="F398" t="s">
        <v>676</v>
      </c>
      <c r="G398" t="s">
        <v>921</v>
      </c>
      <c r="H398">
        <v>82002</v>
      </c>
      <c r="I398">
        <v>6203044</v>
      </c>
      <c r="J398">
        <v>86</v>
      </c>
      <c r="K398" t="str" cm="1">
        <f t="array" ref="K398">_xlfn.IFS(Table1[[#This Row],[IMDB_Rating]]&gt;=9,"Masterpiece",Table1[[#This Row],[IMDB_Rating]]&gt;=8,"Excellent",Table1[[#This Row],[IMDB_Rating]]&gt;=7,"Good",Table1[[#This Row],[IMDB_Rating]]&lt;7,"Average")</f>
        <v>Excellent</v>
      </c>
    </row>
    <row r="399" spans="1:11" x14ac:dyDescent="0.35">
      <c r="A399" t="s">
        <v>871</v>
      </c>
      <c r="B399">
        <v>2007</v>
      </c>
      <c r="C399">
        <v>112</v>
      </c>
      <c r="D399" t="s">
        <v>34</v>
      </c>
      <c r="E399">
        <v>8</v>
      </c>
      <c r="F399" t="s">
        <v>872</v>
      </c>
      <c r="G399" t="s">
        <v>873</v>
      </c>
      <c r="H399">
        <v>103284</v>
      </c>
      <c r="I399">
        <v>5990075</v>
      </c>
      <c r="J399">
        <v>92</v>
      </c>
      <c r="K399" t="str" cm="1">
        <f t="array" ref="K3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400" spans="1:11" x14ac:dyDescent="0.35">
      <c r="A400" t="s">
        <v>2169</v>
      </c>
      <c r="B400">
        <v>1973</v>
      </c>
      <c r="C400">
        <v>112</v>
      </c>
      <c r="D400" t="s">
        <v>67</v>
      </c>
      <c r="E400">
        <v>7.6</v>
      </c>
      <c r="F400" t="s">
        <v>1839</v>
      </c>
      <c r="G400" t="s">
        <v>2170</v>
      </c>
      <c r="H400">
        <v>26337</v>
      </c>
      <c r="I400">
        <v>959000</v>
      </c>
      <c r="J400">
        <v>87</v>
      </c>
      <c r="K400" t="str" cm="1">
        <f t="array" ref="K400">_xlfn.IFS(Table1[[#This Row],[IMDB_Rating]]&gt;=9,"Masterpiece",Table1[[#This Row],[IMDB_Rating]]&gt;=8,"Excellent",Table1[[#This Row],[IMDB_Rating]]&gt;=7,"Good",Table1[[#This Row],[IMDB_Rating]]&lt;7,"Average")</f>
        <v>Good</v>
      </c>
    </row>
    <row r="401" spans="1:11" x14ac:dyDescent="0.35">
      <c r="A401" t="s">
        <v>777</v>
      </c>
      <c r="B401">
        <v>2019</v>
      </c>
      <c r="C401">
        <v>113</v>
      </c>
      <c r="D401" t="s">
        <v>74</v>
      </c>
      <c r="E401">
        <v>8</v>
      </c>
      <c r="F401" t="s">
        <v>778</v>
      </c>
      <c r="G401" t="s">
        <v>779</v>
      </c>
      <c r="H401">
        <v>37556</v>
      </c>
      <c r="I401">
        <v>874211619</v>
      </c>
      <c r="J401">
        <v>69</v>
      </c>
      <c r="K401" t="str" cm="1">
        <f t="array" ref="K401">_xlfn.IFS(Table1[[#This Row],[IMDB_Rating]]&gt;=9,"Masterpiece",Table1[[#This Row],[IMDB_Rating]]&gt;=8,"Excellent",Table1[[#This Row],[IMDB_Rating]]&gt;=7,"Good",Table1[[#This Row],[IMDB_Rating]]&lt;7,"Average")</f>
        <v>Excellent</v>
      </c>
    </row>
    <row r="402" spans="1:11" x14ac:dyDescent="0.35">
      <c r="A402" t="s">
        <v>2022</v>
      </c>
      <c r="B402">
        <v>2009</v>
      </c>
      <c r="C402">
        <v>113</v>
      </c>
      <c r="D402" t="s">
        <v>19</v>
      </c>
      <c r="E402">
        <v>7.6</v>
      </c>
      <c r="F402" t="s">
        <v>2023</v>
      </c>
      <c r="G402" t="s">
        <v>2024</v>
      </c>
      <c r="H402">
        <v>63882</v>
      </c>
      <c r="I402">
        <v>242105549</v>
      </c>
      <c r="K402" t="str" cm="1">
        <f t="array" ref="K402">_xlfn.IFS(Table1[[#This Row],[IMDB_Rating]]&gt;=9,"Masterpiece",Table1[[#This Row],[IMDB_Rating]]&gt;=8,"Excellent",Table1[[#This Row],[IMDB_Rating]]&gt;=7,"Good",Table1[[#This Row],[IMDB_Rating]]&lt;7,"Average")</f>
        <v>Good</v>
      </c>
    </row>
    <row r="403" spans="1:11" x14ac:dyDescent="0.35">
      <c r="A403" t="s">
        <v>1942</v>
      </c>
      <c r="B403">
        <v>1954</v>
      </c>
      <c r="C403">
        <v>113</v>
      </c>
      <c r="D403" t="s">
        <v>67</v>
      </c>
      <c r="E403">
        <v>7.7</v>
      </c>
      <c r="F403" t="s">
        <v>216</v>
      </c>
      <c r="G403" t="s">
        <v>150</v>
      </c>
      <c r="H403">
        <v>59415</v>
      </c>
      <c r="I403">
        <v>199534614</v>
      </c>
      <c r="J403">
        <v>72</v>
      </c>
      <c r="K403" t="str" cm="1">
        <f t="array" ref="K403">_xlfn.IFS(Table1[[#This Row],[IMDB_Rating]]&gt;=9,"Masterpiece",Table1[[#This Row],[IMDB_Rating]]&gt;=8,"Excellent",Table1[[#This Row],[IMDB_Rating]]&gt;=7,"Good",Table1[[#This Row],[IMDB_Rating]]&lt;7,"Average")</f>
        <v>Good</v>
      </c>
    </row>
    <row r="404" spans="1:11" x14ac:dyDescent="0.35">
      <c r="A404" t="s">
        <v>1312</v>
      </c>
      <c r="B404">
        <v>2019</v>
      </c>
      <c r="C404">
        <v>113</v>
      </c>
      <c r="D404" t="s">
        <v>19</v>
      </c>
      <c r="E404">
        <v>7.8</v>
      </c>
      <c r="F404" t="s">
        <v>258</v>
      </c>
      <c r="G404" t="s">
        <v>75</v>
      </c>
      <c r="H404">
        <v>237392</v>
      </c>
      <c r="I404">
        <v>179413519</v>
      </c>
      <c r="J404">
        <v>51</v>
      </c>
      <c r="K404" t="str" cm="1">
        <f t="array" ref="K404">_xlfn.IFS(Table1[[#This Row],[IMDB_Rating]]&gt;=9,"Masterpiece",Table1[[#This Row],[IMDB_Rating]]&gt;=8,"Excellent",Table1[[#This Row],[IMDB_Rating]]&gt;=7,"Good",Table1[[#This Row],[IMDB_Rating]]&lt;7,"Average")</f>
        <v>Good</v>
      </c>
    </row>
    <row r="405" spans="1:11" x14ac:dyDescent="0.35">
      <c r="A405" t="s">
        <v>798</v>
      </c>
      <c r="B405">
        <v>2017</v>
      </c>
      <c r="C405">
        <v>113</v>
      </c>
      <c r="D405" t="s">
        <v>11</v>
      </c>
      <c r="E405">
        <v>8</v>
      </c>
      <c r="F405" t="s">
        <v>799</v>
      </c>
      <c r="G405" t="s">
        <v>800</v>
      </c>
      <c r="H405">
        <v>141923</v>
      </c>
      <c r="I405">
        <v>132422809</v>
      </c>
      <c r="J405">
        <v>66</v>
      </c>
      <c r="K405" t="str" cm="1">
        <f t="array" ref="K40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06" spans="1:11" x14ac:dyDescent="0.35">
      <c r="A406" t="s">
        <v>1481</v>
      </c>
      <c r="B406">
        <v>2000</v>
      </c>
      <c r="C406">
        <v>113</v>
      </c>
      <c r="D406" t="s">
        <v>34</v>
      </c>
      <c r="E406">
        <v>7.8</v>
      </c>
      <c r="F406" t="s">
        <v>1482</v>
      </c>
      <c r="G406" t="s">
        <v>1436</v>
      </c>
      <c r="H406">
        <v>198089</v>
      </c>
      <c r="I406">
        <v>115654751</v>
      </c>
      <c r="J406">
        <v>48</v>
      </c>
      <c r="K406" t="str" cm="1">
        <f t="array" ref="K406">_xlfn.IFS(Table1[[#This Row],[IMDB_Rating]]&gt;=9,"Masterpiece",Table1[[#This Row],[IMDB_Rating]]&gt;=8,"Excellent",Table1[[#This Row],[IMDB_Rating]]&gt;=7,"Good",Table1[[#This Row],[IMDB_Rating]]&lt;7,"Average")</f>
        <v>Good</v>
      </c>
    </row>
    <row r="407" spans="1:11" x14ac:dyDescent="0.35">
      <c r="A407" t="s">
        <v>1980</v>
      </c>
      <c r="B407">
        <v>2017</v>
      </c>
      <c r="C407">
        <v>113</v>
      </c>
      <c r="D407" t="s">
        <v>19</v>
      </c>
      <c r="E407">
        <v>7.6</v>
      </c>
      <c r="F407" t="s">
        <v>1177</v>
      </c>
      <c r="G407" t="s">
        <v>1981</v>
      </c>
      <c r="H407">
        <v>439406</v>
      </c>
      <c r="I407">
        <v>107825862</v>
      </c>
      <c r="J407">
        <v>86</v>
      </c>
      <c r="K407" t="str" cm="1">
        <f t="array" ref="K407">_xlfn.IFS(Table1[[#This Row],[IMDB_Rating]]&gt;=9,"Masterpiece",Table1[[#This Row],[IMDB_Rating]]&gt;=8,"Excellent",Table1[[#This Row],[IMDB_Rating]]&gt;=7,"Good",Table1[[#This Row],[IMDB_Rating]]&lt;7,"Average")</f>
        <v>Good</v>
      </c>
    </row>
    <row r="408" spans="1:11" x14ac:dyDescent="0.35">
      <c r="A408" t="s">
        <v>1126</v>
      </c>
      <c r="B408">
        <v>2014</v>
      </c>
      <c r="C408">
        <v>113</v>
      </c>
      <c r="D408" t="s">
        <v>19</v>
      </c>
      <c r="E408">
        <v>7.9</v>
      </c>
      <c r="F408" t="s">
        <v>1127</v>
      </c>
      <c r="G408" t="s">
        <v>917</v>
      </c>
      <c r="H408">
        <v>600004</v>
      </c>
      <c r="I408">
        <v>100206256</v>
      </c>
      <c r="J408">
        <v>71</v>
      </c>
      <c r="K408" t="str" cm="1">
        <f t="array" ref="K408">_xlfn.IFS(Table1[[#This Row],[IMDB_Rating]]&gt;=9,"Masterpiece",Table1[[#This Row],[IMDB_Rating]]&gt;=8,"Excellent",Table1[[#This Row],[IMDB_Rating]]&gt;=7,"Good",Table1[[#This Row],[IMDB_Rating]]&lt;7,"Average")</f>
        <v>Good</v>
      </c>
    </row>
    <row r="409" spans="1:11" x14ac:dyDescent="0.35">
      <c r="A409" t="s">
        <v>1877</v>
      </c>
      <c r="B409">
        <v>1982</v>
      </c>
      <c r="C409">
        <v>113</v>
      </c>
      <c r="D409" t="s">
        <v>19</v>
      </c>
      <c r="E409">
        <v>7.7</v>
      </c>
      <c r="F409" t="s">
        <v>1878</v>
      </c>
      <c r="G409" t="s">
        <v>1879</v>
      </c>
      <c r="H409">
        <v>112704</v>
      </c>
      <c r="I409">
        <v>78912963</v>
      </c>
      <c r="J409">
        <v>67</v>
      </c>
      <c r="K409" t="str" cm="1">
        <f t="array" ref="K409">_xlfn.IFS(Table1[[#This Row],[IMDB_Rating]]&gt;=9,"Masterpiece",Table1[[#This Row],[IMDB_Rating]]&gt;=8,"Excellent",Table1[[#This Row],[IMDB_Rating]]&gt;=7,"Good",Table1[[#This Row],[IMDB_Rating]]&lt;7,"Average")</f>
        <v>Good</v>
      </c>
    </row>
    <row r="410" spans="1:11" x14ac:dyDescent="0.35">
      <c r="A410" t="s">
        <v>2084</v>
      </c>
      <c r="B410">
        <v>2004</v>
      </c>
      <c r="C410">
        <v>113</v>
      </c>
      <c r="D410" t="s">
        <v>11</v>
      </c>
      <c r="E410">
        <v>7.6</v>
      </c>
      <c r="F410" t="s">
        <v>2085</v>
      </c>
      <c r="G410" t="s">
        <v>2086</v>
      </c>
      <c r="H410">
        <v>451479</v>
      </c>
      <c r="I410">
        <v>57938693</v>
      </c>
      <c r="J410">
        <v>30</v>
      </c>
      <c r="K410" t="str" cm="1">
        <f t="array" ref="K410">_xlfn.IFS(Table1[[#This Row],[IMDB_Rating]]&gt;=9,"Masterpiece",Table1[[#This Row],[IMDB_Rating]]&gt;=8,"Excellent",Table1[[#This Row],[IMDB_Rating]]&gt;=7,"Good",Table1[[#This Row],[IMDB_Rating]]&lt;7,"Average")</f>
        <v>Good</v>
      </c>
    </row>
    <row r="411" spans="1:11" x14ac:dyDescent="0.35">
      <c r="A411" t="s">
        <v>2087</v>
      </c>
      <c r="B411">
        <v>2002</v>
      </c>
      <c r="C411">
        <v>113</v>
      </c>
      <c r="D411" t="s">
        <v>11</v>
      </c>
      <c r="E411">
        <v>7.6</v>
      </c>
      <c r="F411" t="s">
        <v>625</v>
      </c>
      <c r="G411" t="s">
        <v>2088</v>
      </c>
      <c r="H411">
        <v>376853</v>
      </c>
      <c r="I411">
        <v>45064915</v>
      </c>
      <c r="J411">
        <v>73</v>
      </c>
      <c r="K411" t="str" cm="1">
        <f t="array" ref="K411">_xlfn.IFS(Table1[[#This Row],[IMDB_Rating]]&gt;=9,"Masterpiece",Table1[[#This Row],[IMDB_Rating]]&gt;=8,"Excellent",Table1[[#This Row],[IMDB_Rating]]&gt;=7,"Good",Table1[[#This Row],[IMDB_Rating]]&lt;7,"Average")</f>
        <v>Good</v>
      </c>
    </row>
    <row r="412" spans="1:11" x14ac:dyDescent="0.35">
      <c r="A412" t="s">
        <v>1589</v>
      </c>
      <c r="B412">
        <v>1969</v>
      </c>
      <c r="C412">
        <v>113</v>
      </c>
      <c r="D412" t="s">
        <v>11</v>
      </c>
      <c r="E412">
        <v>7.8</v>
      </c>
      <c r="F412" t="s">
        <v>1590</v>
      </c>
      <c r="G412" t="s">
        <v>969</v>
      </c>
      <c r="H412">
        <v>101124</v>
      </c>
      <c r="I412">
        <v>44785053</v>
      </c>
      <c r="J412">
        <v>79</v>
      </c>
      <c r="K412" t="str" cm="1">
        <f t="array" ref="K412">_xlfn.IFS(Table1[[#This Row],[IMDB_Rating]]&gt;=9,"Masterpiece",Table1[[#This Row],[IMDB_Rating]]&gt;=8,"Excellent",Table1[[#This Row],[IMDB_Rating]]&gt;=7,"Good",Table1[[#This Row],[IMDB_Rating]]&lt;7,"Average")</f>
        <v>Good</v>
      </c>
    </row>
    <row r="413" spans="1:11" x14ac:dyDescent="0.35">
      <c r="A413" t="s">
        <v>2129</v>
      </c>
      <c r="B413">
        <v>1993</v>
      </c>
      <c r="C413">
        <v>113</v>
      </c>
      <c r="D413" t="s">
        <v>19</v>
      </c>
      <c r="E413">
        <v>7.6</v>
      </c>
      <c r="F413" t="s">
        <v>2130</v>
      </c>
      <c r="G413" t="s">
        <v>1502</v>
      </c>
      <c r="H413">
        <v>171640</v>
      </c>
      <c r="I413">
        <v>40903593</v>
      </c>
      <c r="J413">
        <v>56</v>
      </c>
      <c r="K413" t="str" cm="1">
        <f t="array" ref="K413">_xlfn.IFS(Table1[[#This Row],[IMDB_Rating]]&gt;=9,"Masterpiece",Table1[[#This Row],[IMDB_Rating]]&gt;=8,"Excellent",Table1[[#This Row],[IMDB_Rating]]&gt;=7,"Good",Table1[[#This Row],[IMDB_Rating]]&lt;7,"Average")</f>
        <v>Good</v>
      </c>
    </row>
    <row r="414" spans="1:11" x14ac:dyDescent="0.35">
      <c r="A414" t="s">
        <v>195</v>
      </c>
      <c r="B414">
        <v>2000</v>
      </c>
      <c r="C414">
        <v>113</v>
      </c>
      <c r="D414" t="s">
        <v>196</v>
      </c>
      <c r="E414">
        <v>8.4</v>
      </c>
      <c r="F414" t="s">
        <v>20</v>
      </c>
      <c r="G414" t="s">
        <v>197</v>
      </c>
      <c r="H414">
        <v>1125712</v>
      </c>
      <c r="I414">
        <v>25544867</v>
      </c>
      <c r="J414">
        <v>80</v>
      </c>
      <c r="K414" t="str" cm="1">
        <f t="array" ref="K414">_xlfn.IFS(Table1[[#This Row],[IMDB_Rating]]&gt;=9,"Masterpiece",Table1[[#This Row],[IMDB_Rating]]&gt;=8,"Excellent",Table1[[#This Row],[IMDB_Rating]]&gt;=7,"Good",Table1[[#This Row],[IMDB_Rating]]&lt;7,"Average")</f>
        <v>Excellent</v>
      </c>
    </row>
    <row r="415" spans="1:11" x14ac:dyDescent="0.35">
      <c r="A415" t="s">
        <v>1813</v>
      </c>
      <c r="B415">
        <v>1999</v>
      </c>
      <c r="C415">
        <v>113</v>
      </c>
      <c r="D415" t="s">
        <v>67</v>
      </c>
      <c r="E415">
        <v>7.7</v>
      </c>
      <c r="F415" t="s">
        <v>817</v>
      </c>
      <c r="G415" t="s">
        <v>1814</v>
      </c>
      <c r="H415">
        <v>312542</v>
      </c>
      <c r="I415">
        <v>22858926</v>
      </c>
      <c r="J415">
        <v>90</v>
      </c>
      <c r="K415" t="str" cm="1">
        <f t="array" ref="K415">_xlfn.IFS(Table1[[#This Row],[IMDB_Rating]]&gt;=9,"Masterpiece",Table1[[#This Row],[IMDB_Rating]]&gt;=8,"Excellent",Table1[[#This Row],[IMDB_Rating]]&gt;=7,"Good",Table1[[#This Row],[IMDB_Rating]]&lt;7,"Average")</f>
        <v>Good</v>
      </c>
    </row>
    <row r="416" spans="1:11" x14ac:dyDescent="0.35">
      <c r="A416" t="s">
        <v>1268</v>
      </c>
      <c r="B416">
        <v>1963</v>
      </c>
      <c r="C416">
        <v>113</v>
      </c>
      <c r="D416" t="s">
        <v>67</v>
      </c>
      <c r="E416">
        <v>7.9</v>
      </c>
      <c r="F416" t="s">
        <v>309</v>
      </c>
      <c r="G416" t="s">
        <v>306</v>
      </c>
      <c r="H416">
        <v>68689</v>
      </c>
      <c r="I416">
        <v>13474588</v>
      </c>
      <c r="J416">
        <v>83</v>
      </c>
      <c r="K416" t="str" cm="1">
        <f t="array" ref="K416">_xlfn.IFS(Table1[[#This Row],[IMDB_Rating]]&gt;=9,"Masterpiece",Table1[[#This Row],[IMDB_Rating]]&gt;=8,"Excellent",Table1[[#This Row],[IMDB_Rating]]&gt;=7,"Good",Table1[[#This Row],[IMDB_Rating]]&lt;7,"Average")</f>
        <v>Good</v>
      </c>
    </row>
    <row r="417" spans="1:11" x14ac:dyDescent="0.35">
      <c r="A417" t="s">
        <v>1578</v>
      </c>
      <c r="B417">
        <v>1974</v>
      </c>
      <c r="C417">
        <v>113</v>
      </c>
      <c r="D417" t="s">
        <v>11</v>
      </c>
      <c r="E417">
        <v>7.8</v>
      </c>
      <c r="F417" t="s">
        <v>16</v>
      </c>
      <c r="G417" t="s">
        <v>1543</v>
      </c>
      <c r="H417">
        <v>98611</v>
      </c>
      <c r="I417">
        <v>4420000</v>
      </c>
      <c r="J417">
        <v>85</v>
      </c>
      <c r="K417" t="str" cm="1">
        <f t="array" ref="K417">_xlfn.IFS(Table1[[#This Row],[IMDB_Rating]]&gt;=9,"Masterpiece",Table1[[#This Row],[IMDB_Rating]]&gt;=8,"Excellent",Table1[[#This Row],[IMDB_Rating]]&gt;=7,"Good",Table1[[#This Row],[IMDB_Rating]]&lt;7,"Average")</f>
        <v>Good</v>
      </c>
    </row>
    <row r="418" spans="1:11" x14ac:dyDescent="0.35">
      <c r="A418" t="s">
        <v>913</v>
      </c>
      <c r="B418">
        <v>2001</v>
      </c>
      <c r="C418">
        <v>113</v>
      </c>
      <c r="D418" t="s">
        <v>11</v>
      </c>
      <c r="E418">
        <v>8</v>
      </c>
      <c r="F418" t="s">
        <v>914</v>
      </c>
      <c r="G418" t="s">
        <v>915</v>
      </c>
      <c r="H418">
        <v>740086</v>
      </c>
      <c r="I418">
        <v>1480006</v>
      </c>
      <c r="J418">
        <v>88</v>
      </c>
      <c r="K418" t="str" cm="1">
        <f t="array" ref="K418">_xlfn.IFS(Table1[[#This Row],[IMDB_Rating]]&gt;=9,"Masterpiece",Table1[[#This Row],[IMDB_Rating]]&gt;=8,"Excellent",Table1[[#This Row],[IMDB_Rating]]&gt;=7,"Good",Table1[[#This Row],[IMDB_Rating]]&lt;7,"Average")</f>
        <v>Excellent</v>
      </c>
    </row>
    <row r="419" spans="1:11" x14ac:dyDescent="0.35">
      <c r="A419" t="s">
        <v>1149</v>
      </c>
      <c r="B419">
        <v>2007</v>
      </c>
      <c r="C419">
        <v>113</v>
      </c>
      <c r="D419" t="s">
        <v>11</v>
      </c>
      <c r="E419">
        <v>7.9</v>
      </c>
      <c r="F419" t="s">
        <v>1150</v>
      </c>
      <c r="G419" t="s">
        <v>1151</v>
      </c>
      <c r="H419">
        <v>56625</v>
      </c>
      <c r="I419">
        <v>1185783</v>
      </c>
      <c r="J419">
        <v>97</v>
      </c>
      <c r="K419" t="str" cm="1">
        <f t="array" ref="K419">_xlfn.IFS(Table1[[#This Row],[IMDB_Rating]]&gt;=9,"Masterpiece",Table1[[#This Row],[IMDB_Rating]]&gt;=8,"Excellent",Table1[[#This Row],[IMDB_Rating]]&gt;=7,"Good",Table1[[#This Row],[IMDB_Rating]]&lt;7,"Average")</f>
        <v>Good</v>
      </c>
    </row>
    <row r="420" spans="1:11" x14ac:dyDescent="0.35">
      <c r="A420" t="s">
        <v>1006</v>
      </c>
      <c r="B420">
        <v>1970</v>
      </c>
      <c r="C420">
        <v>113</v>
      </c>
      <c r="D420" t="s">
        <v>11</v>
      </c>
      <c r="E420">
        <v>8</v>
      </c>
      <c r="F420" t="s">
        <v>1007</v>
      </c>
      <c r="G420" t="s">
        <v>1008</v>
      </c>
      <c r="H420">
        <v>27067</v>
      </c>
      <c r="I420">
        <v>541940</v>
      </c>
      <c r="J420">
        <v>100</v>
      </c>
      <c r="K420" t="str" cm="1">
        <f t="array" ref="K420">_xlfn.IFS(Table1[[#This Row],[IMDB_Rating]]&gt;=9,"Masterpiece",Table1[[#This Row],[IMDB_Rating]]&gt;=8,"Excellent",Table1[[#This Row],[IMDB_Rating]]&gt;=7,"Good",Table1[[#This Row],[IMDB_Rating]]&lt;7,"Average")</f>
        <v>Excellent</v>
      </c>
    </row>
    <row r="421" spans="1:11" x14ac:dyDescent="0.35">
      <c r="A421" t="s">
        <v>757</v>
      </c>
      <c r="B421">
        <v>1937</v>
      </c>
      <c r="C421">
        <v>113</v>
      </c>
      <c r="D421" t="s">
        <v>11</v>
      </c>
      <c r="E421">
        <v>8.1</v>
      </c>
      <c r="F421" t="s">
        <v>758</v>
      </c>
      <c r="G421" t="s">
        <v>759</v>
      </c>
      <c r="H421">
        <v>33829</v>
      </c>
      <c r="I421">
        <v>172885</v>
      </c>
      <c r="K421" t="str" cm="1">
        <f t="array" ref="K421">_xlfn.IFS(Table1[[#This Row],[IMDB_Rating]]&gt;=9,"Masterpiece",Table1[[#This Row],[IMDB_Rating]]&gt;=8,"Excellent",Table1[[#This Row],[IMDB_Rating]]&gt;=7,"Good",Table1[[#This Row],[IMDB_Rating]]&lt;7,"Average")</f>
        <v>Excellent</v>
      </c>
    </row>
    <row r="422" spans="1:11" x14ac:dyDescent="0.35">
      <c r="A422" t="s">
        <v>1461</v>
      </c>
      <c r="B422">
        <v>2003</v>
      </c>
      <c r="C422">
        <v>113</v>
      </c>
      <c r="D422" t="s">
        <v>11</v>
      </c>
      <c r="E422">
        <v>7.8</v>
      </c>
      <c r="F422" t="s">
        <v>1462</v>
      </c>
      <c r="G422" t="s">
        <v>1463</v>
      </c>
      <c r="H422">
        <v>35682</v>
      </c>
      <c r="I422">
        <v>15280</v>
      </c>
      <c r="J422">
        <v>61</v>
      </c>
      <c r="K422" t="str" cm="1">
        <f t="array" ref="K422">_xlfn.IFS(Table1[[#This Row],[IMDB_Rating]]&gt;=9,"Masterpiece",Table1[[#This Row],[IMDB_Rating]]&gt;=8,"Excellent",Table1[[#This Row],[IMDB_Rating]]&gt;=7,"Good",Table1[[#This Row],[IMDB_Rating]]&lt;7,"Average")</f>
        <v>Good</v>
      </c>
    </row>
    <row r="423" spans="1:11" x14ac:dyDescent="0.35">
      <c r="A423" t="s">
        <v>740</v>
      </c>
      <c r="B423">
        <v>1949</v>
      </c>
      <c r="C423">
        <v>114</v>
      </c>
      <c r="D423" t="s">
        <v>19</v>
      </c>
      <c r="E423">
        <v>8.1</v>
      </c>
      <c r="F423" t="s">
        <v>741</v>
      </c>
      <c r="G423" t="s">
        <v>742</v>
      </c>
      <c r="H423">
        <v>29807</v>
      </c>
      <c r="I423">
        <v>323145090</v>
      </c>
      <c r="K423" t="str" cm="1">
        <f t="array" ref="K423">_xlfn.IFS(Table1[[#This Row],[IMDB_Rating]]&gt;=9,"Masterpiece",Table1[[#This Row],[IMDB_Rating]]&gt;=8,"Excellent",Table1[[#This Row],[IMDB_Rating]]&gt;=7,"Good",Table1[[#This Row],[IMDB_Rating]]&lt;7,"Average")</f>
        <v>Excellent</v>
      </c>
    </row>
    <row r="424" spans="1:11" x14ac:dyDescent="0.35">
      <c r="A424" t="s">
        <v>2089</v>
      </c>
      <c r="B424">
        <v>2000</v>
      </c>
      <c r="C424">
        <v>114</v>
      </c>
      <c r="D424" t="s">
        <v>19</v>
      </c>
      <c r="E424">
        <v>7.6</v>
      </c>
      <c r="F424" t="s">
        <v>2090</v>
      </c>
      <c r="G424" t="s">
        <v>1727</v>
      </c>
      <c r="H424">
        <v>169091</v>
      </c>
      <c r="I424">
        <v>195856489</v>
      </c>
      <c r="J424">
        <v>81</v>
      </c>
      <c r="K424" t="str" cm="1">
        <f t="array" ref="K424">_xlfn.IFS(Table1[[#This Row],[IMDB_Rating]]&gt;=9,"Masterpiece",Table1[[#This Row],[IMDB_Rating]]&gt;=8,"Excellent",Table1[[#This Row],[IMDB_Rating]]&gt;=7,"Good",Table1[[#This Row],[IMDB_Rating]]&lt;7,"Average")</f>
        <v>Good</v>
      </c>
    </row>
    <row r="425" spans="1:11" x14ac:dyDescent="0.35">
      <c r="A425" t="s">
        <v>809</v>
      </c>
      <c r="B425">
        <v>2014</v>
      </c>
      <c r="C425">
        <v>114</v>
      </c>
      <c r="D425" t="s">
        <v>34</v>
      </c>
      <c r="E425">
        <v>8</v>
      </c>
      <c r="F425" t="s">
        <v>810</v>
      </c>
      <c r="G425" t="s">
        <v>811</v>
      </c>
      <c r="H425">
        <v>685201</v>
      </c>
      <c r="I425">
        <v>91125683</v>
      </c>
      <c r="J425">
        <v>73</v>
      </c>
      <c r="K425" t="str" cm="1">
        <f t="array" ref="K4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26" spans="1:11" x14ac:dyDescent="0.35">
      <c r="A426" t="s">
        <v>1552</v>
      </c>
      <c r="B426">
        <v>1985</v>
      </c>
      <c r="C426">
        <v>114</v>
      </c>
      <c r="D426" t="s">
        <v>74</v>
      </c>
      <c r="E426">
        <v>7.8</v>
      </c>
      <c r="F426" t="s">
        <v>1553</v>
      </c>
      <c r="G426" t="s">
        <v>1554</v>
      </c>
      <c r="H426">
        <v>244430</v>
      </c>
      <c r="I426">
        <v>61503218</v>
      </c>
      <c r="J426">
        <v>62</v>
      </c>
      <c r="K426" t="str" cm="1">
        <f t="array" ref="K426">_xlfn.IFS(Table1[[#This Row],[IMDB_Rating]]&gt;=9,"Masterpiece",Table1[[#This Row],[IMDB_Rating]]&gt;=8,"Excellent",Table1[[#This Row],[IMDB_Rating]]&gt;=7,"Good",Table1[[#This Row],[IMDB_Rating]]&lt;7,"Average")</f>
        <v>Good</v>
      </c>
    </row>
    <row r="427" spans="1:11" x14ac:dyDescent="0.35">
      <c r="A427" t="s">
        <v>291</v>
      </c>
      <c r="B427">
        <v>1976</v>
      </c>
      <c r="C427">
        <v>114</v>
      </c>
      <c r="D427" t="s">
        <v>15</v>
      </c>
      <c r="E427">
        <v>8.3000000000000007</v>
      </c>
      <c r="F427" t="s">
        <v>55</v>
      </c>
      <c r="G427" t="s">
        <v>56</v>
      </c>
      <c r="H427">
        <v>724636</v>
      </c>
      <c r="I427">
        <v>28262574</v>
      </c>
      <c r="J427">
        <v>94</v>
      </c>
      <c r="K427" t="str" cm="1">
        <f t="array" ref="K427">_xlfn.IFS(Table1[[#This Row],[IMDB_Rating]]&gt;=9,"Masterpiece",Table1[[#This Row],[IMDB_Rating]]&gt;=8,"Excellent",Table1[[#This Row],[IMDB_Rating]]&gt;=7,"Good",Table1[[#This Row],[IMDB_Rating]]&lt;7,"Average")</f>
        <v>Excellent</v>
      </c>
    </row>
    <row r="428" spans="1:11" x14ac:dyDescent="0.35">
      <c r="A428" t="s">
        <v>2048</v>
      </c>
      <c r="B428">
        <v>2007</v>
      </c>
      <c r="C428">
        <v>114</v>
      </c>
      <c r="D428" t="s">
        <v>15</v>
      </c>
      <c r="E428">
        <v>7.6</v>
      </c>
      <c r="F428" t="s">
        <v>526</v>
      </c>
      <c r="G428" t="s">
        <v>88</v>
      </c>
      <c r="H428">
        <v>250590</v>
      </c>
      <c r="I428">
        <v>20300218</v>
      </c>
      <c r="J428">
        <v>72</v>
      </c>
      <c r="K428" t="str" cm="1">
        <f t="array" ref="K428">_xlfn.IFS(Table1[[#This Row],[IMDB_Rating]]&gt;=9,"Masterpiece",Table1[[#This Row],[IMDB_Rating]]&gt;=8,"Excellent",Table1[[#This Row],[IMDB_Rating]]&gt;=7,"Good",Table1[[#This Row],[IMDB_Rating]]&lt;7,"Average")</f>
        <v>Good</v>
      </c>
    </row>
    <row r="429" spans="1:11" x14ac:dyDescent="0.35">
      <c r="A429" t="s">
        <v>1295</v>
      </c>
      <c r="B429">
        <v>1946</v>
      </c>
      <c r="C429">
        <v>114</v>
      </c>
      <c r="D429" t="s">
        <v>15</v>
      </c>
      <c r="E429">
        <v>7.9</v>
      </c>
      <c r="F429" t="s">
        <v>1032</v>
      </c>
      <c r="G429" t="s">
        <v>150</v>
      </c>
      <c r="H429">
        <v>78796</v>
      </c>
      <c r="I429">
        <v>6540000</v>
      </c>
      <c r="K429" t="str" cm="1">
        <f t="array" ref="K429">_xlfn.IFS(Table1[[#This Row],[IMDB_Rating]]&gt;=9,"Masterpiece",Table1[[#This Row],[IMDB_Rating]]&gt;=8,"Excellent",Table1[[#This Row],[IMDB_Rating]]&gt;=7,"Good",Table1[[#This Row],[IMDB_Rating]]&lt;7,"Average")</f>
        <v>Good</v>
      </c>
    </row>
    <row r="430" spans="1:11" x14ac:dyDescent="0.35">
      <c r="A430" t="s">
        <v>1771</v>
      </c>
      <c r="B430">
        <v>2002</v>
      </c>
      <c r="C430">
        <v>114</v>
      </c>
      <c r="D430" t="s">
        <v>11</v>
      </c>
      <c r="E430">
        <v>7.7</v>
      </c>
      <c r="F430" t="s">
        <v>1772</v>
      </c>
      <c r="G430" t="s">
        <v>1773</v>
      </c>
      <c r="H430">
        <v>25938</v>
      </c>
      <c r="I430">
        <v>4890878</v>
      </c>
      <c r="J430">
        <v>83</v>
      </c>
      <c r="K430" t="str" cm="1">
        <f t="array" ref="K430">_xlfn.IFS(Table1[[#This Row],[IMDB_Rating]]&gt;=9,"Masterpiece",Table1[[#This Row],[IMDB_Rating]]&gt;=8,"Excellent",Table1[[#This Row],[IMDB_Rating]]&gt;=7,"Good",Table1[[#This Row],[IMDB_Rating]]&lt;7,"Average")</f>
        <v>Good</v>
      </c>
    </row>
    <row r="431" spans="1:11" x14ac:dyDescent="0.35">
      <c r="A431" t="s">
        <v>1137</v>
      </c>
      <c r="B431">
        <v>2008</v>
      </c>
      <c r="C431">
        <v>114</v>
      </c>
      <c r="D431" t="s">
        <v>15</v>
      </c>
      <c r="E431">
        <v>7.9</v>
      </c>
      <c r="F431" t="s">
        <v>1138</v>
      </c>
      <c r="G431" t="s">
        <v>1139</v>
      </c>
      <c r="H431">
        <v>205609</v>
      </c>
      <c r="I431">
        <v>2122065</v>
      </c>
      <c r="J431">
        <v>82</v>
      </c>
      <c r="K431" t="str" cm="1">
        <f t="array" ref="K431">_xlfn.IFS(Table1[[#This Row],[IMDB_Rating]]&gt;=9,"Masterpiece",Table1[[#This Row],[IMDB_Rating]]&gt;=8,"Excellent",Table1[[#This Row],[IMDB_Rating]]&gt;=7,"Good",Table1[[#This Row],[IMDB_Rating]]&lt;7,"Average")</f>
        <v>Good</v>
      </c>
    </row>
    <row r="432" spans="1:11" x14ac:dyDescent="0.35">
      <c r="A432" t="s">
        <v>1198</v>
      </c>
      <c r="B432">
        <v>2000</v>
      </c>
      <c r="C432">
        <v>114</v>
      </c>
      <c r="D432" t="s">
        <v>15</v>
      </c>
      <c r="E432">
        <v>7.9</v>
      </c>
      <c r="F432" t="s">
        <v>1199</v>
      </c>
      <c r="G432" t="s">
        <v>370</v>
      </c>
      <c r="H432">
        <v>49721</v>
      </c>
      <c r="I432">
        <v>1221261</v>
      </c>
      <c r="J432">
        <v>80</v>
      </c>
      <c r="K432" t="str" cm="1">
        <f t="array" ref="K432">_xlfn.IFS(Table1[[#This Row],[IMDB_Rating]]&gt;=9,"Masterpiece",Table1[[#This Row],[IMDB_Rating]]&gt;=8,"Excellent",Table1[[#This Row],[IMDB_Rating]]&gt;=7,"Good",Table1[[#This Row],[IMDB_Rating]]&lt;7,"Average")</f>
        <v>Good</v>
      </c>
    </row>
    <row r="433" spans="1:11" x14ac:dyDescent="0.35">
      <c r="A433" t="s">
        <v>1249</v>
      </c>
      <c r="B433">
        <v>1973</v>
      </c>
      <c r="C433">
        <v>114</v>
      </c>
      <c r="D433" t="s">
        <v>74</v>
      </c>
      <c r="E433">
        <v>7.9</v>
      </c>
      <c r="F433" t="s">
        <v>1250</v>
      </c>
      <c r="G433" t="s">
        <v>1250</v>
      </c>
      <c r="H433">
        <v>37183</v>
      </c>
      <c r="I433">
        <v>61001</v>
      </c>
      <c r="J433">
        <v>76</v>
      </c>
      <c r="K433" t="str" cm="1">
        <f t="array" ref="K433">_xlfn.IFS(Table1[[#This Row],[IMDB_Rating]]&gt;=9,"Masterpiece",Table1[[#This Row],[IMDB_Rating]]&gt;=8,"Excellent",Table1[[#This Row],[IMDB_Rating]]&gt;=7,"Good",Table1[[#This Row],[IMDB_Rating]]&lt;7,"Average")</f>
        <v>Good</v>
      </c>
    </row>
    <row r="434" spans="1:11" x14ac:dyDescent="0.35">
      <c r="A434" t="s">
        <v>2182</v>
      </c>
      <c r="B434">
        <v>1961</v>
      </c>
      <c r="C434">
        <v>115</v>
      </c>
      <c r="D434" t="s">
        <v>67</v>
      </c>
      <c r="E434">
        <v>7.6</v>
      </c>
      <c r="F434" t="s">
        <v>2183</v>
      </c>
      <c r="G434" t="s">
        <v>1594</v>
      </c>
      <c r="H434">
        <v>166544</v>
      </c>
      <c r="I434">
        <v>679874270</v>
      </c>
      <c r="J434">
        <v>76</v>
      </c>
      <c r="K434" t="str" cm="1">
        <f t="array" ref="K434">_xlfn.IFS(Table1[[#This Row],[IMDB_Rating]]&gt;=9,"Masterpiece",Table1[[#This Row],[IMDB_Rating]]&gt;=8,"Excellent",Table1[[#This Row],[IMDB_Rating]]&gt;=7,"Good",Table1[[#This Row],[IMDB_Rating]]&lt;7,"Average")</f>
        <v>Good</v>
      </c>
    </row>
    <row r="435" spans="1:11" x14ac:dyDescent="0.35">
      <c r="A435" t="s">
        <v>1568</v>
      </c>
      <c r="B435">
        <v>1982</v>
      </c>
      <c r="C435">
        <v>115</v>
      </c>
      <c r="D435" t="s">
        <v>1569</v>
      </c>
      <c r="E435">
        <v>7.8</v>
      </c>
      <c r="F435" t="s">
        <v>35</v>
      </c>
      <c r="G435" t="s">
        <v>1570</v>
      </c>
      <c r="H435">
        <v>372490</v>
      </c>
      <c r="I435">
        <v>435110554</v>
      </c>
      <c r="J435">
        <v>91</v>
      </c>
      <c r="K435" t="str" cm="1">
        <f t="array" ref="K435">_xlfn.IFS(Table1[[#This Row],[IMDB_Rating]]&gt;=9,"Masterpiece",Table1[[#This Row],[IMDB_Rating]]&gt;=8,"Excellent",Table1[[#This Row],[IMDB_Rating]]&gt;=7,"Good",Table1[[#This Row],[IMDB_Rating]]&lt;7,"Average")</f>
        <v>Good</v>
      </c>
    </row>
    <row r="436" spans="1:11" x14ac:dyDescent="0.35">
      <c r="A436" t="s">
        <v>903</v>
      </c>
      <c r="B436">
        <v>2004</v>
      </c>
      <c r="C436">
        <v>115</v>
      </c>
      <c r="D436" t="s">
        <v>80</v>
      </c>
      <c r="E436">
        <v>8</v>
      </c>
      <c r="F436" t="s">
        <v>878</v>
      </c>
      <c r="G436" t="s">
        <v>904</v>
      </c>
      <c r="H436">
        <v>657047</v>
      </c>
      <c r="I436">
        <v>261441092</v>
      </c>
      <c r="J436">
        <v>90</v>
      </c>
      <c r="K436" t="str" cm="1">
        <f t="array" ref="K436">_xlfn.IFS(Table1[[#This Row],[IMDB_Rating]]&gt;=9,"Masterpiece",Table1[[#This Row],[IMDB_Rating]]&gt;=8,"Excellent",Table1[[#This Row],[IMDB_Rating]]&gt;=7,"Good",Table1[[#This Row],[IMDB_Rating]]&lt;7,"Average")</f>
        <v>Excellent</v>
      </c>
    </row>
    <row r="437" spans="1:11" x14ac:dyDescent="0.35">
      <c r="A437" t="s">
        <v>201</v>
      </c>
      <c r="B437">
        <v>1981</v>
      </c>
      <c r="C437">
        <v>115</v>
      </c>
      <c r="D437" t="s">
        <v>19</v>
      </c>
      <c r="E437">
        <v>8.4</v>
      </c>
      <c r="F437" t="s">
        <v>35</v>
      </c>
      <c r="G437" t="s">
        <v>202</v>
      </c>
      <c r="H437">
        <v>884112</v>
      </c>
      <c r="I437">
        <v>248159971</v>
      </c>
      <c r="J437">
        <v>85</v>
      </c>
      <c r="K437" t="str" cm="1">
        <f t="array" ref="K4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438" spans="1:11" x14ac:dyDescent="0.35">
      <c r="A438" t="s">
        <v>864</v>
      </c>
      <c r="B438">
        <v>2007</v>
      </c>
      <c r="C438">
        <v>115</v>
      </c>
      <c r="D438" t="s">
        <v>19</v>
      </c>
      <c r="E438">
        <v>8</v>
      </c>
      <c r="F438" t="s">
        <v>865</v>
      </c>
      <c r="G438" t="s">
        <v>542</v>
      </c>
      <c r="H438">
        <v>604694</v>
      </c>
      <c r="I438">
        <v>227471070</v>
      </c>
      <c r="J438">
        <v>85</v>
      </c>
      <c r="K438" t="str" cm="1">
        <f t="array" ref="K438">_xlfn.IFS(Table1[[#This Row],[IMDB_Rating]]&gt;=9,"Masterpiece",Table1[[#This Row],[IMDB_Rating]]&gt;=8,"Excellent",Table1[[#This Row],[IMDB_Rating]]&gt;=7,"Good",Table1[[#This Row],[IMDB_Rating]]&lt;7,"Average")</f>
        <v>Excellent</v>
      </c>
    </row>
    <row r="439" spans="1:11" x14ac:dyDescent="0.35">
      <c r="A439" t="s">
        <v>337</v>
      </c>
      <c r="B439">
        <v>2017</v>
      </c>
      <c r="C439">
        <v>115</v>
      </c>
      <c r="D439" t="s">
        <v>67</v>
      </c>
      <c r="E439">
        <v>8.1999999999999993</v>
      </c>
      <c r="F439" t="s">
        <v>338</v>
      </c>
      <c r="G439" t="s">
        <v>339</v>
      </c>
      <c r="H439">
        <v>432610</v>
      </c>
      <c r="I439">
        <v>54513740</v>
      </c>
      <c r="J439">
        <v>88</v>
      </c>
      <c r="K439" t="str" cm="1">
        <f t="array" ref="K439">_xlfn.IFS(Table1[[#This Row],[IMDB_Rating]]&gt;=9,"Masterpiece",Table1[[#This Row],[IMDB_Rating]]&gt;=8,"Excellent",Table1[[#This Row],[IMDB_Rating]]&gt;=7,"Good",Table1[[#This Row],[IMDB_Rating]]&lt;7,"Average")</f>
        <v>Excellent</v>
      </c>
    </row>
    <row r="440" spans="1:11" x14ac:dyDescent="0.35">
      <c r="A440" t="s">
        <v>1780</v>
      </c>
      <c r="B440">
        <v>2002</v>
      </c>
      <c r="C440">
        <v>115</v>
      </c>
      <c r="D440" t="s">
        <v>67</v>
      </c>
      <c r="E440">
        <v>7.7</v>
      </c>
      <c r="F440" t="s">
        <v>817</v>
      </c>
      <c r="G440" t="s">
        <v>1781</v>
      </c>
      <c r="H440">
        <v>178565</v>
      </c>
      <c r="I440">
        <v>22245861</v>
      </c>
      <c r="J440">
        <v>83</v>
      </c>
      <c r="K440" t="str" cm="1">
        <f t="array" ref="K440">_xlfn.IFS(Table1[[#This Row],[IMDB_Rating]]&gt;=9,"Masterpiece",Table1[[#This Row],[IMDB_Rating]]&gt;=8,"Excellent",Table1[[#This Row],[IMDB_Rating]]&gt;=7,"Good",Table1[[#This Row],[IMDB_Rating]]&lt;7,"Average")</f>
        <v>Good</v>
      </c>
    </row>
    <row r="441" spans="1:11" x14ac:dyDescent="0.35">
      <c r="A441" t="s">
        <v>1679</v>
      </c>
      <c r="B441">
        <v>2013</v>
      </c>
      <c r="C441">
        <v>115</v>
      </c>
      <c r="D441" t="s">
        <v>74</v>
      </c>
      <c r="E441">
        <v>7.7</v>
      </c>
      <c r="F441" t="s">
        <v>1680</v>
      </c>
      <c r="G441" t="s">
        <v>1681</v>
      </c>
      <c r="H441">
        <v>112298</v>
      </c>
      <c r="I441">
        <v>17654912</v>
      </c>
      <c r="J441">
        <v>87</v>
      </c>
      <c r="K441" t="str" cm="1">
        <f t="array" ref="K441">_xlfn.IFS(Table1[[#This Row],[IMDB_Rating]]&gt;=9,"Masterpiece",Table1[[#This Row],[IMDB_Rating]]&gt;=8,"Excellent",Table1[[#This Row],[IMDB_Rating]]&gt;=7,"Good",Table1[[#This Row],[IMDB_Rating]]&lt;7,"Average")</f>
        <v>Good</v>
      </c>
    </row>
    <row r="442" spans="1:11" x14ac:dyDescent="0.35">
      <c r="A442" t="s">
        <v>1856</v>
      </c>
      <c r="B442">
        <v>1990</v>
      </c>
      <c r="C442">
        <v>115</v>
      </c>
      <c r="D442" t="s">
        <v>15</v>
      </c>
      <c r="E442">
        <v>7.7</v>
      </c>
      <c r="F442" t="s">
        <v>582</v>
      </c>
      <c r="G442" t="s">
        <v>581</v>
      </c>
      <c r="H442">
        <v>125822</v>
      </c>
      <c r="I442">
        <v>5080409</v>
      </c>
      <c r="J442">
        <v>66</v>
      </c>
      <c r="K442" t="str" cm="1">
        <f t="array" ref="K442">_xlfn.IFS(Table1[[#This Row],[IMDB_Rating]]&gt;=9,"Masterpiece",Table1[[#This Row],[IMDB_Rating]]&gt;=8,"Excellent",Table1[[#This Row],[IMDB_Rating]]&gt;=7,"Good",Table1[[#This Row],[IMDB_Rating]]&lt;7,"Average")</f>
        <v>Good</v>
      </c>
    </row>
    <row r="443" spans="1:11" x14ac:dyDescent="0.35">
      <c r="A443" t="s">
        <v>1193</v>
      </c>
      <c r="B443">
        <v>2001</v>
      </c>
      <c r="C443">
        <v>115</v>
      </c>
      <c r="D443" t="s">
        <v>80</v>
      </c>
      <c r="E443">
        <v>7.9</v>
      </c>
      <c r="F443" t="s">
        <v>1194</v>
      </c>
      <c r="G443" t="s">
        <v>1195</v>
      </c>
      <c r="H443">
        <v>42897</v>
      </c>
      <c r="I443">
        <v>1000045</v>
      </c>
      <c r="J443">
        <v>61</v>
      </c>
      <c r="K443" t="str" cm="1">
        <f t="array" ref="K443">_xlfn.IFS(Table1[[#This Row],[IMDB_Rating]]&gt;=9,"Masterpiece",Table1[[#This Row],[IMDB_Rating]]&gt;=8,"Excellent",Table1[[#This Row],[IMDB_Rating]]&gt;=7,"Good",Table1[[#This Row],[IMDB_Rating]]&lt;7,"Average")</f>
        <v>Good</v>
      </c>
    </row>
    <row r="444" spans="1:11" x14ac:dyDescent="0.35">
      <c r="A444" t="s">
        <v>235</v>
      </c>
      <c r="B444">
        <v>2012</v>
      </c>
      <c r="C444">
        <v>115</v>
      </c>
      <c r="D444" t="s">
        <v>11</v>
      </c>
      <c r="E444">
        <v>8.3000000000000007</v>
      </c>
      <c r="F444" t="s">
        <v>236</v>
      </c>
      <c r="G444" t="s">
        <v>237</v>
      </c>
      <c r="H444">
        <v>281623</v>
      </c>
      <c r="I444">
        <v>687185</v>
      </c>
      <c r="J444">
        <v>77</v>
      </c>
      <c r="K444" t="str" cm="1">
        <f t="array" ref="K444">_xlfn.IFS(Table1[[#This Row],[IMDB_Rating]]&gt;=9,"Masterpiece",Table1[[#This Row],[IMDB_Rating]]&gt;=8,"Excellent",Table1[[#This Row],[IMDB_Rating]]&gt;=7,"Good",Table1[[#This Row],[IMDB_Rating]]&lt;7,"Average")</f>
        <v>Excellent</v>
      </c>
    </row>
    <row r="445" spans="1:11" x14ac:dyDescent="0.35">
      <c r="A445" t="s">
        <v>823</v>
      </c>
      <c r="B445">
        <v>2010</v>
      </c>
      <c r="C445">
        <v>115</v>
      </c>
      <c r="D445" t="s">
        <v>19</v>
      </c>
      <c r="E445">
        <v>8</v>
      </c>
      <c r="F445" t="s">
        <v>824</v>
      </c>
      <c r="G445" t="s">
        <v>825</v>
      </c>
      <c r="H445">
        <v>79200</v>
      </c>
      <c r="I445">
        <v>100119</v>
      </c>
      <c r="J445">
        <v>71</v>
      </c>
      <c r="K445" t="str" cm="1">
        <f t="array" ref="K44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46" spans="1:11" x14ac:dyDescent="0.35">
      <c r="A446" t="s">
        <v>850</v>
      </c>
      <c r="B446">
        <v>2007</v>
      </c>
      <c r="C446">
        <v>115</v>
      </c>
      <c r="D446" t="s">
        <v>19</v>
      </c>
      <c r="E446">
        <v>8</v>
      </c>
      <c r="F446" t="s">
        <v>824</v>
      </c>
      <c r="G446" t="s">
        <v>825</v>
      </c>
      <c r="H446">
        <v>98097</v>
      </c>
      <c r="I446">
        <v>8060</v>
      </c>
      <c r="J446">
        <v>33</v>
      </c>
      <c r="K446" t="str" cm="1">
        <f t="array" ref="K446">_xlfn.IFS(Table1[[#This Row],[IMDB_Rating]]&gt;=9,"Masterpiece",Table1[[#This Row],[IMDB_Rating]]&gt;=8,"Excellent",Table1[[#This Row],[IMDB_Rating]]&gt;=7,"Good",Table1[[#This Row],[IMDB_Rating]]&lt;7,"Average")</f>
        <v>Excellent</v>
      </c>
    </row>
    <row r="447" spans="1:11" x14ac:dyDescent="0.35">
      <c r="A447" t="s">
        <v>141</v>
      </c>
      <c r="B447">
        <v>1985</v>
      </c>
      <c r="C447">
        <v>116</v>
      </c>
      <c r="D447" t="s">
        <v>74</v>
      </c>
      <c r="E447">
        <v>8.5</v>
      </c>
      <c r="F447" t="s">
        <v>44</v>
      </c>
      <c r="G447" t="s">
        <v>142</v>
      </c>
      <c r="H447">
        <v>1058081</v>
      </c>
      <c r="I447">
        <v>210609762</v>
      </c>
      <c r="J447">
        <v>87</v>
      </c>
      <c r="K447" t="str" cm="1">
        <f t="array" ref="K4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448" spans="1:11" x14ac:dyDescent="0.35">
      <c r="A448" t="s">
        <v>1791</v>
      </c>
      <c r="B448">
        <v>2001</v>
      </c>
      <c r="C448">
        <v>116</v>
      </c>
      <c r="D448" t="s">
        <v>15</v>
      </c>
      <c r="E448">
        <v>7.7</v>
      </c>
      <c r="F448" t="s">
        <v>1792</v>
      </c>
      <c r="G448" t="s">
        <v>1168</v>
      </c>
      <c r="H448">
        <v>516372</v>
      </c>
      <c r="I448">
        <v>183417150</v>
      </c>
      <c r="J448">
        <v>74</v>
      </c>
      <c r="K448" t="str" cm="1">
        <f t="array" ref="K448">_xlfn.IFS(Table1[[#This Row],[IMDB_Rating]]&gt;=9,"Masterpiece",Table1[[#This Row],[IMDB_Rating]]&gt;=8,"Excellent",Table1[[#This Row],[IMDB_Rating]]&gt;=7,"Good",Table1[[#This Row],[IMDB_Rating]]&lt;7,"Average")</f>
        <v>Good</v>
      </c>
    </row>
    <row r="449" spans="1:11" x14ac:dyDescent="0.35">
      <c r="A449" t="s">
        <v>1796</v>
      </c>
      <c r="B449">
        <v>2002</v>
      </c>
      <c r="C449">
        <v>116</v>
      </c>
      <c r="D449" t="s">
        <v>74</v>
      </c>
      <c r="E449">
        <v>7.7</v>
      </c>
      <c r="F449" t="s">
        <v>1797</v>
      </c>
      <c r="G449" t="s">
        <v>1798</v>
      </c>
      <c r="H449">
        <v>29999</v>
      </c>
      <c r="I449">
        <v>174381905</v>
      </c>
      <c r="K449" t="str" cm="1">
        <f t="array" ref="K449">_xlfn.IFS(Table1[[#This Row],[IMDB_Rating]]&gt;=9,"Masterpiece",Table1[[#This Row],[IMDB_Rating]]&gt;=8,"Excellent",Table1[[#This Row],[IMDB_Rating]]&gt;=7,"Good",Table1[[#This Row],[IMDB_Rating]]&lt;7,"Average")</f>
        <v>Good</v>
      </c>
    </row>
    <row r="450" spans="1:11" x14ac:dyDescent="0.35">
      <c r="A450" t="s">
        <v>561</v>
      </c>
      <c r="B450">
        <v>2008</v>
      </c>
      <c r="C450">
        <v>116</v>
      </c>
      <c r="D450" t="s">
        <v>11</v>
      </c>
      <c r="E450">
        <v>8.1</v>
      </c>
      <c r="F450" t="s">
        <v>49</v>
      </c>
      <c r="G450" t="s">
        <v>49</v>
      </c>
      <c r="H450">
        <v>720450</v>
      </c>
      <c r="I450">
        <v>148095302</v>
      </c>
      <c r="J450">
        <v>72</v>
      </c>
      <c r="K450" t="str" cm="1">
        <f t="array" ref="K450">_xlfn.IFS(Table1[[#This Row],[IMDB_Rating]]&gt;=9,"Masterpiece",Table1[[#This Row],[IMDB_Rating]]&gt;=8,"Excellent",Table1[[#This Row],[IMDB_Rating]]&gt;=7,"Good",Table1[[#This Row],[IMDB_Rating]]&lt;7,"Average")</f>
        <v>Excellent</v>
      </c>
    </row>
    <row r="451" spans="1:11" x14ac:dyDescent="0.35">
      <c r="A451" t="s">
        <v>1113</v>
      </c>
      <c r="B451">
        <v>2016</v>
      </c>
      <c r="C451">
        <v>116</v>
      </c>
      <c r="D451" t="s">
        <v>11</v>
      </c>
      <c r="E451">
        <v>7.9</v>
      </c>
      <c r="F451" t="s">
        <v>242</v>
      </c>
      <c r="G451" t="s">
        <v>1114</v>
      </c>
      <c r="H451">
        <v>594181</v>
      </c>
      <c r="I451">
        <v>100546139</v>
      </c>
      <c r="J451">
        <v>81</v>
      </c>
      <c r="K451" t="str" cm="1">
        <f t="array" ref="K451">_xlfn.IFS(Table1[[#This Row],[IMDB_Rating]]&gt;=9,"Masterpiece",Table1[[#This Row],[IMDB_Rating]]&gt;=8,"Excellent",Table1[[#This Row],[IMDB_Rating]]&gt;=7,"Good",Table1[[#This Row],[IMDB_Rating]]&lt;7,"Average")</f>
        <v>Good</v>
      </c>
    </row>
    <row r="452" spans="1:11" x14ac:dyDescent="0.35">
      <c r="A452" t="s">
        <v>1417</v>
      </c>
      <c r="B452">
        <v>2010</v>
      </c>
      <c r="C452">
        <v>116</v>
      </c>
      <c r="D452" t="s">
        <v>34</v>
      </c>
      <c r="E452">
        <v>7.8</v>
      </c>
      <c r="F452" t="s">
        <v>1418</v>
      </c>
      <c r="G452" t="s">
        <v>1210</v>
      </c>
      <c r="H452">
        <v>340584</v>
      </c>
      <c r="I452">
        <v>93617009</v>
      </c>
      <c r="J452">
        <v>79</v>
      </c>
      <c r="K452" t="str" cm="1">
        <f t="array" ref="K452">_xlfn.IFS(Table1[[#This Row],[IMDB_Rating]]&gt;=9,"Masterpiece",Table1[[#This Row],[IMDB_Rating]]&gt;=8,"Excellent",Table1[[#This Row],[IMDB_Rating]]&gt;=7,"Good",Table1[[#This Row],[IMDB_Rating]]&lt;7,"Average")</f>
        <v>Good</v>
      </c>
    </row>
    <row r="453" spans="1:11" x14ac:dyDescent="0.35">
      <c r="A453" t="s">
        <v>85</v>
      </c>
      <c r="B453">
        <v>1997</v>
      </c>
      <c r="C453">
        <v>116</v>
      </c>
      <c r="D453" t="s">
        <v>67</v>
      </c>
      <c r="E453">
        <v>8.6</v>
      </c>
      <c r="F453" t="s">
        <v>86</v>
      </c>
      <c r="G453" t="s">
        <v>86</v>
      </c>
      <c r="H453">
        <v>623629</v>
      </c>
      <c r="I453">
        <v>57598247</v>
      </c>
      <c r="J453">
        <v>59</v>
      </c>
      <c r="K453" t="str" cm="1">
        <f t="array" ref="K4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454" spans="1:11" x14ac:dyDescent="0.35">
      <c r="A454" t="s">
        <v>276</v>
      </c>
      <c r="B454">
        <v>1987</v>
      </c>
      <c r="C454">
        <v>116</v>
      </c>
      <c r="D454" t="s">
        <v>11</v>
      </c>
      <c r="E454">
        <v>8.3000000000000007</v>
      </c>
      <c r="F454" t="s">
        <v>204</v>
      </c>
      <c r="G454" t="s">
        <v>277</v>
      </c>
      <c r="H454">
        <v>675146</v>
      </c>
      <c r="I454">
        <v>46357676</v>
      </c>
      <c r="J454">
        <v>76</v>
      </c>
      <c r="K454" t="str" cm="1">
        <f t="array" ref="K454">_xlfn.IFS(Table1[[#This Row],[IMDB_Rating]]&gt;=9,"Masterpiece",Table1[[#This Row],[IMDB_Rating]]&gt;=8,"Excellent",Table1[[#This Row],[IMDB_Rating]]&gt;=7,"Good",Table1[[#This Row],[IMDB_Rating]]&lt;7,"Average")</f>
        <v>Excellent</v>
      </c>
    </row>
    <row r="455" spans="1:11" x14ac:dyDescent="0.35">
      <c r="A455" t="s">
        <v>215</v>
      </c>
      <c r="B455">
        <v>1957</v>
      </c>
      <c r="C455">
        <v>116</v>
      </c>
      <c r="D455" t="s">
        <v>15</v>
      </c>
      <c r="E455">
        <v>8.4</v>
      </c>
      <c r="F455" t="s">
        <v>216</v>
      </c>
      <c r="G455" t="s">
        <v>217</v>
      </c>
      <c r="H455">
        <v>108862</v>
      </c>
      <c r="I455">
        <v>8175000</v>
      </c>
      <c r="K455" t="str" cm="1">
        <f t="array" ref="K4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56" spans="1:11" x14ac:dyDescent="0.35">
      <c r="A456" t="s">
        <v>1855</v>
      </c>
      <c r="B456">
        <v>1991</v>
      </c>
      <c r="C456">
        <v>116</v>
      </c>
      <c r="D456" t="s">
        <v>67</v>
      </c>
      <c r="E456">
        <v>7.7</v>
      </c>
      <c r="F456" t="s">
        <v>582</v>
      </c>
      <c r="G456" t="s">
        <v>581</v>
      </c>
      <c r="H456">
        <v>113240</v>
      </c>
      <c r="I456">
        <v>6153939</v>
      </c>
      <c r="J456">
        <v>69</v>
      </c>
      <c r="K456" t="str" cm="1">
        <f t="array" ref="K456">_xlfn.IFS(Table1[[#This Row],[IMDB_Rating]]&gt;=9,"Masterpiece",Table1[[#This Row],[IMDB_Rating]]&gt;=8,"Excellent",Table1[[#This Row],[IMDB_Rating]]&gt;=7,"Good",Table1[[#This Row],[IMDB_Rating]]&lt;7,"Average")</f>
        <v>Good</v>
      </c>
    </row>
    <row r="457" spans="1:11" x14ac:dyDescent="0.35">
      <c r="A457" t="s">
        <v>1648</v>
      </c>
      <c r="B457">
        <v>2015</v>
      </c>
      <c r="C457">
        <v>116</v>
      </c>
      <c r="D457" t="s">
        <v>67</v>
      </c>
      <c r="E457">
        <v>7.7</v>
      </c>
      <c r="F457" t="s">
        <v>1649</v>
      </c>
      <c r="G457" t="s">
        <v>1650</v>
      </c>
      <c r="H457">
        <v>47444</v>
      </c>
      <c r="I457">
        <v>3358518</v>
      </c>
      <c r="J457">
        <v>70</v>
      </c>
      <c r="K457" t="str" cm="1">
        <f t="array" ref="K457">_xlfn.IFS(Table1[[#This Row],[IMDB_Rating]]&gt;=9,"Masterpiece",Table1[[#This Row],[IMDB_Rating]]&gt;=8,"Excellent",Table1[[#This Row],[IMDB_Rating]]&gt;=7,"Good",Table1[[#This Row],[IMDB_Rating]]&lt;7,"Average")</f>
        <v>Good</v>
      </c>
    </row>
    <row r="458" spans="1:11" x14ac:dyDescent="0.35">
      <c r="A458" t="s">
        <v>1742</v>
      </c>
      <c r="B458">
        <v>2005</v>
      </c>
      <c r="C458">
        <v>116</v>
      </c>
      <c r="D458" t="s">
        <v>11</v>
      </c>
      <c r="E458">
        <v>7.7</v>
      </c>
      <c r="F458" t="s">
        <v>1743</v>
      </c>
      <c r="G458" t="s">
        <v>1744</v>
      </c>
      <c r="H458">
        <v>28003</v>
      </c>
      <c r="I458">
        <v>1054361</v>
      </c>
      <c r="J458">
        <v>70</v>
      </c>
      <c r="K458" t="str" cm="1">
        <f t="array" ref="K458">_xlfn.IFS(Table1[[#This Row],[IMDB_Rating]]&gt;=9,"Masterpiece",Table1[[#This Row],[IMDB_Rating]]&gt;=8,"Excellent",Table1[[#This Row],[IMDB_Rating]]&gt;=7,"Good",Table1[[#This Row],[IMDB_Rating]]&lt;7,"Average")</f>
        <v>Good</v>
      </c>
    </row>
    <row r="459" spans="1:11" x14ac:dyDescent="0.35">
      <c r="A459" t="s">
        <v>1416</v>
      </c>
      <c r="B459">
        <v>2020</v>
      </c>
      <c r="C459">
        <v>117</v>
      </c>
      <c r="D459" t="s">
        <v>67</v>
      </c>
      <c r="E459">
        <v>7.8</v>
      </c>
      <c r="F459" t="s">
        <v>236</v>
      </c>
      <c r="G459" t="s">
        <v>237</v>
      </c>
      <c r="H459">
        <v>33931</v>
      </c>
      <c r="I459">
        <v>349916480</v>
      </c>
      <c r="J459">
        <v>81</v>
      </c>
      <c r="K459" t="str" cm="1">
        <f t="array" ref="K459">_xlfn.IFS(Table1[[#This Row],[IMDB_Rating]]&gt;=9,"Masterpiece",Table1[[#This Row],[IMDB_Rating]]&gt;=8,"Excellent",Table1[[#This Row],[IMDB_Rating]]&gt;=7,"Good",Table1[[#This Row],[IMDB_Rating]]&lt;7,"Average")</f>
        <v>Good</v>
      </c>
    </row>
    <row r="460" spans="1:11" x14ac:dyDescent="0.35">
      <c r="A460" t="s">
        <v>527</v>
      </c>
      <c r="B460">
        <v>2012</v>
      </c>
      <c r="C460">
        <v>117</v>
      </c>
      <c r="D460" t="s">
        <v>80</v>
      </c>
      <c r="E460">
        <v>8.1</v>
      </c>
      <c r="F460" t="s">
        <v>528</v>
      </c>
      <c r="G460" t="s">
        <v>529</v>
      </c>
      <c r="H460">
        <v>38803</v>
      </c>
      <c r="I460">
        <v>224400323</v>
      </c>
      <c r="J460">
        <v>71</v>
      </c>
      <c r="K460" t="str" cm="1">
        <f t="array" ref="K4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461" spans="1:11" x14ac:dyDescent="0.35">
      <c r="A461">
        <v>300</v>
      </c>
      <c r="B461">
        <v>2006</v>
      </c>
      <c r="C461">
        <v>117</v>
      </c>
      <c r="D461" t="s">
        <v>19</v>
      </c>
      <c r="E461">
        <v>7.6</v>
      </c>
      <c r="F461" t="s">
        <v>2058</v>
      </c>
      <c r="G461" t="s">
        <v>2059</v>
      </c>
      <c r="H461">
        <v>732876</v>
      </c>
      <c r="I461">
        <v>210614939</v>
      </c>
      <c r="J461">
        <v>52</v>
      </c>
      <c r="K461" t="str" cm="1">
        <f t="array" ref="K461">_xlfn.IFS(Table1[[#This Row],[IMDB_Rating]]&gt;=9,"Masterpiece",Table1[[#This Row],[IMDB_Rating]]&gt;=8,"Excellent",Table1[[#This Row],[IMDB_Rating]]&gt;=7,"Good",Table1[[#This Row],[IMDB_Rating]]&lt;7,"Average")</f>
        <v>Good</v>
      </c>
    </row>
    <row r="462" spans="1:11" x14ac:dyDescent="0.35">
      <c r="A462" t="s">
        <v>169</v>
      </c>
      <c r="B462">
        <v>2018</v>
      </c>
      <c r="C462">
        <v>117</v>
      </c>
      <c r="D462" t="s">
        <v>80</v>
      </c>
      <c r="E462">
        <v>8.4</v>
      </c>
      <c r="F462" t="s">
        <v>170</v>
      </c>
      <c r="G462" t="s">
        <v>171</v>
      </c>
      <c r="H462">
        <v>375110</v>
      </c>
      <c r="I462">
        <v>190241310</v>
      </c>
      <c r="J462">
        <v>87</v>
      </c>
      <c r="K462" t="str" cm="1">
        <f t="array" ref="K462">_xlfn.IFS(Table1[[#This Row],[IMDB_Rating]]&gt;=9,"Masterpiece",Table1[[#This Row],[IMDB_Rating]]&gt;=8,"Excellent",Table1[[#This Row],[IMDB_Rating]]&gt;=7,"Good",Table1[[#This Row],[IMDB_Rating]]&lt;7,"Average")</f>
        <v>Excellent</v>
      </c>
    </row>
    <row r="463" spans="1:11" x14ac:dyDescent="0.35">
      <c r="A463" t="s">
        <v>859</v>
      </c>
      <c r="B463">
        <v>2006</v>
      </c>
      <c r="C463">
        <v>117</v>
      </c>
      <c r="D463" t="s">
        <v>34</v>
      </c>
      <c r="E463">
        <v>8</v>
      </c>
      <c r="F463" t="s">
        <v>860</v>
      </c>
      <c r="G463" t="s">
        <v>861</v>
      </c>
      <c r="H463">
        <v>448930</v>
      </c>
      <c r="I463">
        <v>163566459</v>
      </c>
      <c r="J463">
        <v>64</v>
      </c>
      <c r="K463" t="str" cm="1">
        <f t="array" ref="K463">_xlfn.IFS(Table1[[#This Row],[IMDB_Rating]]&gt;=9,"Masterpiece",Table1[[#This Row],[IMDB_Rating]]&gt;=8,"Excellent",Table1[[#This Row],[IMDB_Rating]]&gt;=7,"Good",Table1[[#This Row],[IMDB_Rating]]&lt;7,"Average")</f>
        <v>Excellent</v>
      </c>
    </row>
    <row r="464" spans="1:11" x14ac:dyDescent="0.35">
      <c r="A464" t="s">
        <v>1783</v>
      </c>
      <c r="B464">
        <v>2002</v>
      </c>
      <c r="C464">
        <v>117</v>
      </c>
      <c r="D464" t="s">
        <v>15</v>
      </c>
      <c r="E464">
        <v>7.7</v>
      </c>
      <c r="F464" t="s">
        <v>224</v>
      </c>
      <c r="G464" t="s">
        <v>45</v>
      </c>
      <c r="H464">
        <v>246840</v>
      </c>
      <c r="I464">
        <v>104454762</v>
      </c>
      <c r="J464">
        <v>72</v>
      </c>
      <c r="K464" t="str" cm="1">
        <f t="array" ref="K464">_xlfn.IFS(Table1[[#This Row],[IMDB_Rating]]&gt;=9,"Masterpiece",Table1[[#This Row],[IMDB_Rating]]&gt;=8,"Excellent",Table1[[#This Row],[IMDB_Rating]]&gt;=7,"Good",Table1[[#This Row],[IMDB_Rating]]&lt;7,"Average")</f>
        <v>Good</v>
      </c>
    </row>
    <row r="465" spans="1:11" x14ac:dyDescent="0.35">
      <c r="A465" t="s">
        <v>207</v>
      </c>
      <c r="B465">
        <v>1979</v>
      </c>
      <c r="C465">
        <v>117</v>
      </c>
      <c r="D465" t="s">
        <v>145</v>
      </c>
      <c r="E465">
        <v>8.4</v>
      </c>
      <c r="F465" t="s">
        <v>118</v>
      </c>
      <c r="G465" t="s">
        <v>208</v>
      </c>
      <c r="H465">
        <v>787806</v>
      </c>
      <c r="I465">
        <v>78900000</v>
      </c>
      <c r="J465">
        <v>89</v>
      </c>
      <c r="K465" t="str" cm="1">
        <f t="array" ref="K46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66" spans="1:11" x14ac:dyDescent="0.35">
      <c r="A466" t="s">
        <v>1048</v>
      </c>
      <c r="B466">
        <v>1955</v>
      </c>
      <c r="C466">
        <v>117</v>
      </c>
      <c r="D466" t="s">
        <v>15</v>
      </c>
      <c r="E466">
        <v>8</v>
      </c>
      <c r="F466" t="s">
        <v>737</v>
      </c>
      <c r="G466" t="s">
        <v>1049</v>
      </c>
      <c r="H466">
        <v>61503</v>
      </c>
      <c r="I466">
        <v>67939432</v>
      </c>
      <c r="K466" t="str" cm="1">
        <f t="array" ref="K466">_xlfn.IFS(Table1[[#This Row],[IMDB_Rating]]&gt;=9,"Masterpiece",Table1[[#This Row],[IMDB_Rating]]&gt;=8,"Excellent",Table1[[#This Row],[IMDB_Rating]]&gt;=7,"Good",Table1[[#This Row],[IMDB_Rating]]&lt;7,"Average")</f>
        <v>Excellent</v>
      </c>
    </row>
    <row r="467" spans="1:11" x14ac:dyDescent="0.35">
      <c r="A467" t="s">
        <v>2020</v>
      </c>
      <c r="B467">
        <v>2010</v>
      </c>
      <c r="C467">
        <v>117</v>
      </c>
      <c r="D467" t="s">
        <v>19</v>
      </c>
      <c r="E467">
        <v>7.6</v>
      </c>
      <c r="F467" t="s">
        <v>1659</v>
      </c>
      <c r="G467" t="s">
        <v>2021</v>
      </c>
      <c r="H467">
        <v>524081</v>
      </c>
      <c r="I467">
        <v>48071303</v>
      </c>
      <c r="J467">
        <v>66</v>
      </c>
      <c r="K467" t="str" cm="1">
        <f t="array" ref="K467">_xlfn.IFS(Table1[[#This Row],[IMDB_Rating]]&gt;=9,"Masterpiece",Table1[[#This Row],[IMDB_Rating]]&gt;=8,"Excellent",Table1[[#This Row],[IMDB_Rating]]&gt;=7,"Good",Table1[[#This Row],[IMDB_Rating]]&lt;7,"Average")</f>
        <v>Good</v>
      </c>
    </row>
    <row r="468" spans="1:11" x14ac:dyDescent="0.35">
      <c r="A468" t="s">
        <v>674</v>
      </c>
      <c r="B468">
        <v>1982</v>
      </c>
      <c r="C468">
        <v>117</v>
      </c>
      <c r="D468" t="s">
        <v>19</v>
      </c>
      <c r="E468">
        <v>8.1</v>
      </c>
      <c r="F468" t="s">
        <v>118</v>
      </c>
      <c r="G468" t="s">
        <v>202</v>
      </c>
      <c r="H468">
        <v>693827</v>
      </c>
      <c r="I468">
        <v>32868943</v>
      </c>
      <c r="J468">
        <v>84</v>
      </c>
      <c r="K468" t="str" cm="1">
        <f t="array" ref="K468">_xlfn.IFS(Table1[[#This Row],[IMDB_Rating]]&gt;=9,"Masterpiece",Table1[[#This Row],[IMDB_Rating]]&gt;=8,"Excellent",Table1[[#This Row],[IMDB_Rating]]&gt;=7,"Good",Table1[[#This Row],[IMDB_Rating]]&lt;7,"Average")</f>
        <v>Excellent</v>
      </c>
    </row>
    <row r="469" spans="1:11" x14ac:dyDescent="0.35">
      <c r="A469" t="s">
        <v>1109</v>
      </c>
      <c r="B469">
        <v>2014</v>
      </c>
      <c r="C469">
        <v>117</v>
      </c>
      <c r="D469" t="s">
        <v>15</v>
      </c>
      <c r="E469">
        <v>7.9</v>
      </c>
      <c r="F469" t="s">
        <v>1110</v>
      </c>
      <c r="G469" t="s">
        <v>915</v>
      </c>
      <c r="H469">
        <v>466134</v>
      </c>
      <c r="I469">
        <v>32381218</v>
      </c>
      <c r="J469">
        <v>76</v>
      </c>
      <c r="K469" t="str" cm="1">
        <f t="array" ref="K469">_xlfn.IFS(Table1[[#This Row],[IMDB_Rating]]&gt;=9,"Masterpiece",Table1[[#This Row],[IMDB_Rating]]&gt;=8,"Excellent",Table1[[#This Row],[IMDB_Rating]]&gt;=7,"Good",Table1[[#This Row],[IMDB_Rating]]&lt;7,"Average")</f>
        <v>Good</v>
      </c>
    </row>
    <row r="470" spans="1:11" x14ac:dyDescent="0.35">
      <c r="A470" t="s">
        <v>857</v>
      </c>
      <c r="B470">
        <v>2013</v>
      </c>
      <c r="C470">
        <v>117</v>
      </c>
      <c r="D470" t="s">
        <v>34</v>
      </c>
      <c r="E470">
        <v>8</v>
      </c>
      <c r="F470" t="s">
        <v>858</v>
      </c>
      <c r="G470" t="s">
        <v>75</v>
      </c>
      <c r="H470">
        <v>441614</v>
      </c>
      <c r="I470">
        <v>27298285</v>
      </c>
      <c r="J470">
        <v>80</v>
      </c>
      <c r="K470" t="str" cm="1">
        <f t="array" ref="K470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1" spans="1:11" x14ac:dyDescent="0.35">
      <c r="A471" t="s">
        <v>620</v>
      </c>
      <c r="B471">
        <v>1998</v>
      </c>
      <c r="C471">
        <v>117</v>
      </c>
      <c r="D471" t="s">
        <v>67</v>
      </c>
      <c r="E471">
        <v>8.1</v>
      </c>
      <c r="F471" t="s">
        <v>582</v>
      </c>
      <c r="G471" t="s">
        <v>581</v>
      </c>
      <c r="H471">
        <v>732620</v>
      </c>
      <c r="I471">
        <v>17498804</v>
      </c>
      <c r="J471">
        <v>71</v>
      </c>
      <c r="K471" t="str" cm="1">
        <f t="array" ref="K4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2" spans="1:11" x14ac:dyDescent="0.35">
      <c r="A472" t="s">
        <v>1161</v>
      </c>
      <c r="B472">
        <v>2006</v>
      </c>
      <c r="C472">
        <v>117</v>
      </c>
      <c r="D472" t="s">
        <v>74</v>
      </c>
      <c r="E472">
        <v>7.9</v>
      </c>
      <c r="F472" t="s">
        <v>1162</v>
      </c>
      <c r="G472" t="s">
        <v>1163</v>
      </c>
      <c r="H472">
        <v>107290</v>
      </c>
      <c r="I472">
        <v>2280348</v>
      </c>
      <c r="J472">
        <v>64</v>
      </c>
      <c r="K472" t="str" cm="1">
        <f t="array" ref="K472">_xlfn.IFS(Table1[[#This Row],[IMDB_Rating]]&gt;=9,"Masterpiece",Table1[[#This Row],[IMDB_Rating]]&gt;=8,"Excellent",Table1[[#This Row],[IMDB_Rating]]&gt;=7,"Good",Table1[[#This Row],[IMDB_Rating]]&lt;7,"Average")</f>
        <v>Good</v>
      </c>
    </row>
    <row r="473" spans="1:11" x14ac:dyDescent="0.35">
      <c r="A473" t="s">
        <v>661</v>
      </c>
      <c r="B473">
        <v>1984</v>
      </c>
      <c r="C473">
        <v>117</v>
      </c>
      <c r="D473" t="s">
        <v>80</v>
      </c>
      <c r="E473">
        <v>8.1</v>
      </c>
      <c r="F473" t="s">
        <v>81</v>
      </c>
      <c r="G473" t="s">
        <v>662</v>
      </c>
      <c r="H473">
        <v>150924</v>
      </c>
      <c r="I473">
        <v>495770</v>
      </c>
      <c r="J473">
        <v>86</v>
      </c>
      <c r="K473" t="str" cm="1">
        <f t="array" ref="K4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4" spans="1:11" x14ac:dyDescent="0.35">
      <c r="A474" t="s">
        <v>320</v>
      </c>
      <c r="B474">
        <v>1931</v>
      </c>
      <c r="C474">
        <v>117</v>
      </c>
      <c r="D474" t="s">
        <v>15</v>
      </c>
      <c r="E474">
        <v>8.3000000000000007</v>
      </c>
      <c r="F474" t="s">
        <v>321</v>
      </c>
      <c r="G474" t="s">
        <v>322</v>
      </c>
      <c r="H474">
        <v>143434</v>
      </c>
      <c r="I474">
        <v>28877</v>
      </c>
      <c r="K474" t="str" cm="1">
        <f t="array" ref="K474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5" spans="1:11" x14ac:dyDescent="0.35">
      <c r="A475" t="s">
        <v>1986</v>
      </c>
      <c r="B475">
        <v>2018</v>
      </c>
      <c r="C475">
        <v>118</v>
      </c>
      <c r="D475" t="s">
        <v>80</v>
      </c>
      <c r="E475">
        <v>7.6</v>
      </c>
      <c r="F475" t="s">
        <v>878</v>
      </c>
      <c r="G475" t="s">
        <v>904</v>
      </c>
      <c r="H475">
        <v>250057</v>
      </c>
      <c r="I475">
        <v>608581744</v>
      </c>
      <c r="J475">
        <v>80</v>
      </c>
      <c r="K475" t="str" cm="1">
        <f t="array" ref="K475">_xlfn.IFS(Table1[[#This Row],[IMDB_Rating]]&gt;=9,"Masterpiece",Table1[[#This Row],[IMDB_Rating]]&gt;=8,"Excellent",Table1[[#This Row],[IMDB_Rating]]&gt;=7,"Good",Table1[[#This Row],[IMDB_Rating]]&lt;7,"Average")</f>
        <v>Good</v>
      </c>
    </row>
    <row r="476" spans="1:11" x14ac:dyDescent="0.35">
      <c r="A476" t="s">
        <v>1051</v>
      </c>
      <c r="B476">
        <v>1953</v>
      </c>
      <c r="C476">
        <v>118</v>
      </c>
      <c r="D476" t="s">
        <v>67</v>
      </c>
      <c r="E476">
        <v>8</v>
      </c>
      <c r="F476" t="s">
        <v>726</v>
      </c>
      <c r="G476" t="s">
        <v>453</v>
      </c>
      <c r="H476">
        <v>127256</v>
      </c>
      <c r="I476">
        <v>557517195</v>
      </c>
      <c r="J476">
        <v>78</v>
      </c>
      <c r="K476" t="str" cm="1">
        <f t="array" ref="K476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7" spans="1:11" x14ac:dyDescent="0.35">
      <c r="A477" t="s">
        <v>1282</v>
      </c>
      <c r="B477">
        <v>1955</v>
      </c>
      <c r="C477">
        <v>118</v>
      </c>
      <c r="D477" t="s">
        <v>11</v>
      </c>
      <c r="E477">
        <v>7.9</v>
      </c>
      <c r="F477" t="s">
        <v>735</v>
      </c>
      <c r="G477" t="s">
        <v>1283</v>
      </c>
      <c r="H477">
        <v>40313</v>
      </c>
      <c r="I477">
        <v>473570909</v>
      </c>
      <c r="J477">
        <v>72</v>
      </c>
      <c r="K477" t="str" cm="1">
        <f t="array" ref="K477">_xlfn.IFS(Table1[[#This Row],[IMDB_Rating]]&gt;=9,"Masterpiece",Table1[[#This Row],[IMDB_Rating]]&gt;=8,"Excellent",Table1[[#This Row],[IMDB_Rating]]&gt;=7,"Good",Table1[[#This Row],[IMDB_Rating]]&lt;7,"Average")</f>
        <v>Good</v>
      </c>
    </row>
    <row r="478" spans="1:11" x14ac:dyDescent="0.35">
      <c r="A478" t="s">
        <v>1068</v>
      </c>
      <c r="B478">
        <v>1942</v>
      </c>
      <c r="C478">
        <v>118</v>
      </c>
      <c r="D478" t="s">
        <v>67</v>
      </c>
      <c r="E478">
        <v>8</v>
      </c>
      <c r="F478" t="s">
        <v>101</v>
      </c>
      <c r="G478" t="s">
        <v>306</v>
      </c>
      <c r="H478">
        <v>65101</v>
      </c>
      <c r="I478">
        <v>460853100</v>
      </c>
      <c r="K478" t="str" cm="1">
        <f t="array" ref="K478">_xlfn.IFS(Table1[[#This Row],[IMDB_Rating]]&gt;=9,"Masterpiece",Table1[[#This Row],[IMDB_Rating]]&gt;=8,"Excellent",Table1[[#This Row],[IMDB_Rating]]&gt;=7,"Good",Table1[[#This Row],[IMDB_Rating]]&lt;7,"Average")</f>
        <v>Excellent</v>
      </c>
    </row>
    <row r="479" spans="1:11" x14ac:dyDescent="0.35">
      <c r="A479" t="s">
        <v>826</v>
      </c>
      <c r="B479">
        <v>2010</v>
      </c>
      <c r="C479">
        <v>118</v>
      </c>
      <c r="D479" t="s">
        <v>34</v>
      </c>
      <c r="E479">
        <v>8</v>
      </c>
      <c r="F479" t="s">
        <v>827</v>
      </c>
      <c r="G479" t="s">
        <v>828</v>
      </c>
      <c r="H479">
        <v>639603</v>
      </c>
      <c r="I479">
        <v>138797449</v>
      </c>
      <c r="J479">
        <v>88</v>
      </c>
      <c r="K479" t="str" cm="1">
        <f t="array" ref="K479">_xlfn.IFS(Table1[[#This Row],[IMDB_Rating]]&gt;=9,"Masterpiece",Table1[[#This Row],[IMDB_Rating]]&gt;=8,"Excellent",Table1[[#This Row],[IMDB_Rating]]&gt;=7,"Good",Table1[[#This Row],[IMDB_Rating]]&lt;7,"Average")</f>
        <v>Excellent</v>
      </c>
    </row>
    <row r="480" spans="1:11" x14ac:dyDescent="0.35">
      <c r="A480" t="s">
        <v>89</v>
      </c>
      <c r="B480">
        <v>1991</v>
      </c>
      <c r="C480">
        <v>118</v>
      </c>
      <c r="D480" t="s">
        <v>15</v>
      </c>
      <c r="E480">
        <v>8.6</v>
      </c>
      <c r="F480" t="s">
        <v>90</v>
      </c>
      <c r="G480" t="s">
        <v>91</v>
      </c>
      <c r="H480">
        <v>1270197</v>
      </c>
      <c r="I480">
        <v>130742922</v>
      </c>
      <c r="J480">
        <v>85</v>
      </c>
      <c r="K480" t="str" cm="1">
        <f t="array" ref="K480">_xlfn.IFS(Table1[[#This Row],[IMDB_Rating]]&gt;=9,"Masterpiece",Table1[[#This Row],[IMDB_Rating]]&gt;=8,"Excellent",Table1[[#This Row],[IMDB_Rating]]&gt;=7,"Good",Table1[[#This Row],[IMDB_Rating]]&lt;7,"Average")</f>
        <v>Excellent</v>
      </c>
    </row>
    <row r="481" spans="1:11" x14ac:dyDescent="0.35">
      <c r="A481" t="s">
        <v>788</v>
      </c>
      <c r="B481">
        <v>2016</v>
      </c>
      <c r="C481">
        <v>118</v>
      </c>
      <c r="D481" t="s">
        <v>34</v>
      </c>
      <c r="E481">
        <v>8</v>
      </c>
      <c r="F481" t="s">
        <v>789</v>
      </c>
      <c r="G481" t="s">
        <v>790</v>
      </c>
      <c r="H481">
        <v>213970</v>
      </c>
      <c r="I481">
        <v>51739495</v>
      </c>
      <c r="J481">
        <v>69</v>
      </c>
      <c r="K481" t="str" cm="1">
        <f t="array" ref="K481">_xlfn.IFS(Table1[[#This Row],[IMDB_Rating]]&gt;=9,"Masterpiece",Table1[[#This Row],[IMDB_Rating]]&gt;=8,"Excellent",Table1[[#This Row],[IMDB_Rating]]&gt;=7,"Good",Table1[[#This Row],[IMDB_Rating]]&lt;7,"Average")</f>
        <v>Excellent</v>
      </c>
    </row>
    <row r="482" spans="1:11" x14ac:dyDescent="0.35">
      <c r="A482" t="s">
        <v>385</v>
      </c>
      <c r="B482">
        <v>2006</v>
      </c>
      <c r="C482">
        <v>118</v>
      </c>
      <c r="D482" t="s">
        <v>11</v>
      </c>
      <c r="E482">
        <v>8.1999999999999993</v>
      </c>
      <c r="F482" t="s">
        <v>386</v>
      </c>
      <c r="G482" t="s">
        <v>387</v>
      </c>
      <c r="H482">
        <v>618623</v>
      </c>
      <c r="I482">
        <v>37634615</v>
      </c>
      <c r="J482">
        <v>98</v>
      </c>
      <c r="K482" t="str" cm="1">
        <f t="array" ref="K482">_xlfn.IFS(Table1[[#This Row],[IMDB_Rating]]&gt;=9,"Masterpiece",Table1[[#This Row],[IMDB_Rating]]&gt;=8,"Excellent",Table1[[#This Row],[IMDB_Rating]]&gt;=7,"Good",Table1[[#This Row],[IMDB_Rating]]&lt;7,"Average")</f>
        <v>Excellent</v>
      </c>
    </row>
    <row r="483" spans="1:11" x14ac:dyDescent="0.35">
      <c r="A483" t="s">
        <v>2186</v>
      </c>
      <c r="B483">
        <v>1953</v>
      </c>
      <c r="C483">
        <v>118</v>
      </c>
      <c r="D483" t="s">
        <v>11</v>
      </c>
      <c r="E483">
        <v>7.6</v>
      </c>
      <c r="F483" t="s">
        <v>1285</v>
      </c>
      <c r="G483" t="s">
        <v>1041</v>
      </c>
      <c r="H483">
        <v>43374</v>
      </c>
      <c r="I483">
        <v>30500000</v>
      </c>
      <c r="J483">
        <v>85</v>
      </c>
      <c r="K483" t="str" cm="1">
        <f t="array" ref="K483">_xlfn.IFS(Table1[[#This Row],[IMDB_Rating]]&gt;=9,"Masterpiece",Table1[[#This Row],[IMDB_Rating]]&gt;=8,"Excellent",Table1[[#This Row],[IMDB_Rating]]&gt;=7,"Good",Table1[[#This Row],[IMDB_Rating]]&lt;7,"Average")</f>
        <v>Good</v>
      </c>
    </row>
    <row r="484" spans="1:11" x14ac:dyDescent="0.35">
      <c r="A484" t="s">
        <v>1001</v>
      </c>
      <c r="B484">
        <v>1971</v>
      </c>
      <c r="C484">
        <v>118</v>
      </c>
      <c r="D484" t="s">
        <v>11</v>
      </c>
      <c r="E484">
        <v>8</v>
      </c>
      <c r="F484" t="s">
        <v>693</v>
      </c>
      <c r="G484" t="s">
        <v>1002</v>
      </c>
      <c r="H484">
        <v>42456</v>
      </c>
      <c r="I484">
        <v>29133000</v>
      </c>
      <c r="J484">
        <v>93</v>
      </c>
      <c r="K484" t="str" cm="1">
        <f t="array" ref="K4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485" spans="1:11" x14ac:dyDescent="0.35">
      <c r="A485" t="s">
        <v>507</v>
      </c>
      <c r="B485">
        <v>2015</v>
      </c>
      <c r="C485">
        <v>118</v>
      </c>
      <c r="D485" t="s">
        <v>11</v>
      </c>
      <c r="E485">
        <v>8.1</v>
      </c>
      <c r="F485" t="s">
        <v>508</v>
      </c>
      <c r="G485" t="s">
        <v>509</v>
      </c>
      <c r="H485">
        <v>371538</v>
      </c>
      <c r="I485">
        <v>14677674</v>
      </c>
      <c r="J485">
        <v>86</v>
      </c>
      <c r="K485" t="str" cm="1">
        <f t="array" ref="K48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86" spans="1:11" x14ac:dyDescent="0.35">
      <c r="A486" t="s">
        <v>2111</v>
      </c>
      <c r="B486">
        <v>1998</v>
      </c>
      <c r="C486">
        <v>118</v>
      </c>
      <c r="D486" t="s">
        <v>74</v>
      </c>
      <c r="E486">
        <v>7.6</v>
      </c>
      <c r="F486" t="s">
        <v>446</v>
      </c>
      <c r="G486" t="s">
        <v>900</v>
      </c>
      <c r="H486">
        <v>259753</v>
      </c>
      <c r="I486">
        <v>10680275</v>
      </c>
      <c r="J486">
        <v>41</v>
      </c>
      <c r="K486" t="str" cm="1">
        <f t="array" ref="K486">_xlfn.IFS(Table1[[#This Row],[IMDB_Rating]]&gt;=9,"Masterpiece",Table1[[#This Row],[IMDB_Rating]]&gt;=8,"Excellent",Table1[[#This Row],[IMDB_Rating]]&gt;=7,"Good",Table1[[#This Row],[IMDB_Rating]]&lt;7,"Average")</f>
        <v>Good</v>
      </c>
    </row>
    <row r="487" spans="1:11" x14ac:dyDescent="0.35">
      <c r="A487" t="s">
        <v>1506</v>
      </c>
      <c r="B487">
        <v>1993</v>
      </c>
      <c r="C487">
        <v>118</v>
      </c>
      <c r="D487" t="s">
        <v>11</v>
      </c>
      <c r="E487">
        <v>7.8</v>
      </c>
      <c r="F487" t="s">
        <v>569</v>
      </c>
      <c r="G487" t="s">
        <v>900</v>
      </c>
      <c r="H487">
        <v>215034</v>
      </c>
      <c r="I487">
        <v>9170214</v>
      </c>
      <c r="J487">
        <v>73</v>
      </c>
      <c r="K487" t="str" cm="1">
        <f t="array" ref="K487">_xlfn.IFS(Table1[[#This Row],[IMDB_Rating]]&gt;=9,"Masterpiece",Table1[[#This Row],[IMDB_Rating]]&gt;=8,"Excellent",Table1[[#This Row],[IMDB_Rating]]&gt;=7,"Good",Table1[[#This Row],[IMDB_Rating]]&lt;7,"Average")</f>
        <v>Good</v>
      </c>
    </row>
    <row r="488" spans="1:11" x14ac:dyDescent="0.35">
      <c r="A488" t="s">
        <v>1102</v>
      </c>
      <c r="B488">
        <v>2016</v>
      </c>
      <c r="C488">
        <v>118</v>
      </c>
      <c r="D488" t="s">
        <v>67</v>
      </c>
      <c r="E488">
        <v>7.9</v>
      </c>
      <c r="F488" t="s">
        <v>1103</v>
      </c>
      <c r="G488" t="s">
        <v>336</v>
      </c>
      <c r="H488">
        <v>189400</v>
      </c>
      <c r="I488">
        <v>5875006</v>
      </c>
      <c r="J488">
        <v>72</v>
      </c>
      <c r="K488" t="str" cm="1">
        <f t="array" ref="K488">_xlfn.IFS(Table1[[#This Row],[IMDB_Rating]]&gt;=9,"Masterpiece",Table1[[#This Row],[IMDB_Rating]]&gt;=8,"Excellent",Table1[[#This Row],[IMDB_Rating]]&gt;=7,"Good",Table1[[#This Row],[IMDB_Rating]]&lt;7,"Average")</f>
        <v>Good</v>
      </c>
    </row>
    <row r="489" spans="1:11" x14ac:dyDescent="0.35">
      <c r="A489" t="s">
        <v>2012</v>
      </c>
      <c r="B489">
        <v>2010</v>
      </c>
      <c r="C489">
        <v>118</v>
      </c>
      <c r="D489" t="s">
        <v>11</v>
      </c>
      <c r="E489">
        <v>7.6</v>
      </c>
      <c r="F489" t="s">
        <v>1735</v>
      </c>
      <c r="G489" t="s">
        <v>2013</v>
      </c>
      <c r="H489">
        <v>38491</v>
      </c>
      <c r="I489">
        <v>1008098</v>
      </c>
      <c r="J489">
        <v>65</v>
      </c>
      <c r="K489" t="str" cm="1">
        <f t="array" ref="K489">_xlfn.IFS(Table1[[#This Row],[IMDB_Rating]]&gt;=9,"Masterpiece",Table1[[#This Row],[IMDB_Rating]]&gt;=8,"Excellent",Table1[[#This Row],[IMDB_Rating]]&gt;=7,"Good",Table1[[#This Row],[IMDB_Rating]]&lt;7,"Average")</f>
        <v>Good</v>
      </c>
    </row>
    <row r="490" spans="1:11" x14ac:dyDescent="0.35">
      <c r="A490" t="s">
        <v>2136</v>
      </c>
      <c r="B490">
        <v>1991</v>
      </c>
      <c r="C490">
        <v>118</v>
      </c>
      <c r="D490" t="s">
        <v>80</v>
      </c>
      <c r="E490">
        <v>7.6</v>
      </c>
      <c r="F490" t="s">
        <v>139</v>
      </c>
      <c r="G490" t="s">
        <v>2137</v>
      </c>
      <c r="H490">
        <v>27071</v>
      </c>
      <c r="I490">
        <v>453243</v>
      </c>
      <c r="J490">
        <v>90</v>
      </c>
      <c r="K490" t="str" cm="1">
        <f t="array" ref="K490">_xlfn.IFS(Table1[[#This Row],[IMDB_Rating]]&gt;=9,"Masterpiece",Table1[[#This Row],[IMDB_Rating]]&gt;=8,"Excellent",Table1[[#This Row],[IMDB_Rating]]&gt;=7,"Good",Table1[[#This Row],[IMDB_Rating]]&lt;7,"Average")</f>
        <v>Good</v>
      </c>
    </row>
    <row r="491" spans="1:11" x14ac:dyDescent="0.35">
      <c r="A491" t="s">
        <v>464</v>
      </c>
      <c r="B491">
        <v>1955</v>
      </c>
      <c r="C491">
        <v>118</v>
      </c>
      <c r="D491" t="s">
        <v>15</v>
      </c>
      <c r="E491">
        <v>8.1999999999999993</v>
      </c>
      <c r="F491" t="s">
        <v>465</v>
      </c>
      <c r="G491" t="s">
        <v>466</v>
      </c>
      <c r="H491">
        <v>28810</v>
      </c>
      <c r="I491">
        <v>57226</v>
      </c>
      <c r="J491">
        <v>97</v>
      </c>
      <c r="K491" t="str" cm="1">
        <f t="array" ref="K491">_xlfn.IFS(Table1[[#This Row],[IMDB_Rating]]&gt;=9,"Masterpiece",Table1[[#This Row],[IMDB_Rating]]&gt;=8,"Excellent",Table1[[#This Row],[IMDB_Rating]]&gt;=7,"Good",Table1[[#This Row],[IMDB_Rating]]&lt;7,"Average")</f>
        <v>Excellent</v>
      </c>
    </row>
    <row r="492" spans="1:11" x14ac:dyDescent="0.35">
      <c r="A492" t="s">
        <v>1355</v>
      </c>
      <c r="B492">
        <v>2014</v>
      </c>
      <c r="C492">
        <v>119</v>
      </c>
      <c r="D492" t="s">
        <v>34</v>
      </c>
      <c r="E492">
        <v>7.8</v>
      </c>
      <c r="F492" t="s">
        <v>1356</v>
      </c>
      <c r="G492" t="s">
        <v>1357</v>
      </c>
      <c r="H492">
        <v>51841</v>
      </c>
      <c r="I492">
        <v>574305769</v>
      </c>
      <c r="J492">
        <v>79</v>
      </c>
      <c r="K492" t="str" cm="1">
        <f t="array" ref="K492">_xlfn.IFS(Table1[[#This Row],[IMDB_Rating]]&gt;=9,"Masterpiece",Table1[[#This Row],[IMDB_Rating]]&gt;=8,"Excellent",Table1[[#This Row],[IMDB_Rating]]&gt;=7,"Good",Table1[[#This Row],[IMDB_Rating]]&lt;7,"Average")</f>
        <v>Good</v>
      </c>
    </row>
    <row r="493" spans="1:11" x14ac:dyDescent="0.35">
      <c r="A493" t="s">
        <v>1281</v>
      </c>
      <c r="B493">
        <v>1956</v>
      </c>
      <c r="C493">
        <v>119</v>
      </c>
      <c r="D493" t="s">
        <v>74</v>
      </c>
      <c r="E493">
        <v>7.9</v>
      </c>
      <c r="F493" t="s">
        <v>717</v>
      </c>
      <c r="G493" t="s">
        <v>1033</v>
      </c>
      <c r="H493">
        <v>80316</v>
      </c>
      <c r="I493">
        <v>538886182</v>
      </c>
      <c r="J493">
        <v>94</v>
      </c>
      <c r="K493" t="str" cm="1">
        <f t="array" ref="K493">_xlfn.IFS(Table1[[#This Row],[IMDB_Rating]]&gt;=9,"Masterpiece",Table1[[#This Row],[IMDB_Rating]]&gt;=8,"Excellent",Table1[[#This Row],[IMDB_Rating]]&gt;=7,"Good",Table1[[#This Row],[IMDB_Rating]]&lt;7,"Average")</f>
        <v>Good</v>
      </c>
    </row>
    <row r="494" spans="1:11" x14ac:dyDescent="0.35">
      <c r="A494" t="s">
        <v>1638</v>
      </c>
      <c r="B494">
        <v>2018</v>
      </c>
      <c r="C494">
        <v>119</v>
      </c>
      <c r="D494" t="s">
        <v>19</v>
      </c>
      <c r="E494">
        <v>7.7</v>
      </c>
      <c r="F494" t="s">
        <v>1639</v>
      </c>
      <c r="G494" t="s">
        <v>834</v>
      </c>
      <c r="H494">
        <v>478586</v>
      </c>
      <c r="I494">
        <v>324591735</v>
      </c>
      <c r="J494">
        <v>66</v>
      </c>
      <c r="K494" t="str" cm="1">
        <f t="array" ref="K494">_xlfn.IFS(Table1[[#This Row],[IMDB_Rating]]&gt;=9,"Masterpiece",Table1[[#This Row],[IMDB_Rating]]&gt;=8,"Excellent",Table1[[#This Row],[IMDB_Rating]]&gt;=7,"Good",Table1[[#This Row],[IMDB_Rating]]&lt;7,"Average")</f>
        <v>Good</v>
      </c>
    </row>
    <row r="495" spans="1:11" x14ac:dyDescent="0.35">
      <c r="A495">
        <v>1917</v>
      </c>
      <c r="B495">
        <v>2019</v>
      </c>
      <c r="C495">
        <v>119</v>
      </c>
      <c r="D495" t="s">
        <v>11</v>
      </c>
      <c r="E495">
        <v>8.3000000000000007</v>
      </c>
      <c r="F495" t="s">
        <v>224</v>
      </c>
      <c r="G495" t="s">
        <v>225</v>
      </c>
      <c r="H495">
        <v>425844</v>
      </c>
      <c r="I495">
        <v>159227644</v>
      </c>
      <c r="J495">
        <v>78</v>
      </c>
      <c r="K495" t="str" cm="1">
        <f t="array" ref="K495">_xlfn.IFS(Table1[[#This Row],[IMDB_Rating]]&gt;=9,"Masterpiece",Table1[[#This Row],[IMDB_Rating]]&gt;=8,"Excellent",Table1[[#This Row],[IMDB_Rating]]&gt;=7,"Good",Table1[[#This Row],[IMDB_Rating]]&lt;7,"Average")</f>
        <v>Excellent</v>
      </c>
    </row>
    <row r="496" spans="1:11" x14ac:dyDescent="0.35">
      <c r="A496" t="s">
        <v>1196</v>
      </c>
      <c r="B496">
        <v>2002</v>
      </c>
      <c r="C496">
        <v>119</v>
      </c>
      <c r="D496" t="s">
        <v>19</v>
      </c>
      <c r="E496">
        <v>7.9</v>
      </c>
      <c r="F496" t="s">
        <v>1127</v>
      </c>
      <c r="G496" t="s">
        <v>1197</v>
      </c>
      <c r="H496">
        <v>508771</v>
      </c>
      <c r="I496">
        <v>121661683</v>
      </c>
      <c r="J496">
        <v>68</v>
      </c>
      <c r="K496" t="str" cm="1">
        <f t="array" ref="K496">_xlfn.IFS(Table1[[#This Row],[IMDB_Rating]]&gt;=9,"Masterpiece",Table1[[#This Row],[IMDB_Rating]]&gt;=8,"Excellent",Table1[[#This Row],[IMDB_Rating]]&gt;=7,"Good",Table1[[#This Row],[IMDB_Rating]]&lt;7,"Average")</f>
        <v>Good</v>
      </c>
    </row>
    <row r="497" spans="1:11" x14ac:dyDescent="0.35">
      <c r="A497" t="s">
        <v>1230</v>
      </c>
      <c r="B497">
        <v>1987</v>
      </c>
      <c r="C497">
        <v>119</v>
      </c>
      <c r="D497" t="s">
        <v>15</v>
      </c>
      <c r="E497">
        <v>7.9</v>
      </c>
      <c r="F497" t="s">
        <v>285</v>
      </c>
      <c r="G497" t="s">
        <v>959</v>
      </c>
      <c r="H497">
        <v>281842</v>
      </c>
      <c r="I497">
        <v>76270454</v>
      </c>
      <c r="J497">
        <v>79</v>
      </c>
      <c r="K497" t="str" cm="1">
        <f t="array" ref="K497">_xlfn.IFS(Table1[[#This Row],[IMDB_Rating]]&gt;=9,"Masterpiece",Table1[[#This Row],[IMDB_Rating]]&gt;=8,"Excellent",Table1[[#This Row],[IMDB_Rating]]&gt;=7,"Good",Table1[[#This Row],[IMDB_Rating]]&lt;7,"Average")</f>
        <v>Good</v>
      </c>
    </row>
    <row r="498" spans="1:11" x14ac:dyDescent="0.35">
      <c r="A498" t="s">
        <v>1666</v>
      </c>
      <c r="B498">
        <v>2014</v>
      </c>
      <c r="C498">
        <v>119</v>
      </c>
      <c r="D498" t="s">
        <v>67</v>
      </c>
      <c r="E498">
        <v>7.7</v>
      </c>
      <c r="F498" t="s">
        <v>604</v>
      </c>
      <c r="G498" t="s">
        <v>1667</v>
      </c>
      <c r="H498">
        <v>580291</v>
      </c>
      <c r="I498">
        <v>42340598</v>
      </c>
      <c r="J498">
        <v>87</v>
      </c>
      <c r="K498" t="str" cm="1">
        <f t="array" ref="K498">_xlfn.IFS(Table1[[#This Row],[IMDB_Rating]]&gt;=9,"Masterpiece",Table1[[#This Row],[IMDB_Rating]]&gt;=8,"Excellent",Table1[[#This Row],[IMDB_Rating]]&gt;=7,"Good",Table1[[#This Row],[IMDB_Rating]]&lt;7,"Average")</f>
        <v>Good</v>
      </c>
    </row>
    <row r="499" spans="1:11" x14ac:dyDescent="0.35">
      <c r="A499" t="s">
        <v>1458</v>
      </c>
      <c r="B499">
        <v>2005</v>
      </c>
      <c r="C499">
        <v>119</v>
      </c>
      <c r="D499" t="s">
        <v>19</v>
      </c>
      <c r="E499">
        <v>7.8</v>
      </c>
      <c r="F499" t="s">
        <v>852</v>
      </c>
      <c r="G499" t="s">
        <v>1459</v>
      </c>
      <c r="H499">
        <v>283310</v>
      </c>
      <c r="I499">
        <v>25514517</v>
      </c>
      <c r="J499">
        <v>74</v>
      </c>
      <c r="K499" t="str" cm="1">
        <f t="array" ref="K499">_xlfn.IFS(Table1[[#This Row],[IMDB_Rating]]&gt;=9,"Masterpiece",Table1[[#This Row],[IMDB_Rating]]&gt;=8,"Excellent",Table1[[#This Row],[IMDB_Rating]]&gt;=7,"Good",Table1[[#This Row],[IMDB_Rating]]&lt;7,"Average")</f>
        <v>Good</v>
      </c>
    </row>
    <row r="500" spans="1:11" x14ac:dyDescent="0.35">
      <c r="A500" t="s">
        <v>1217</v>
      </c>
      <c r="B500">
        <v>1993</v>
      </c>
      <c r="C500">
        <v>119</v>
      </c>
      <c r="D500" t="s">
        <v>15</v>
      </c>
      <c r="E500">
        <v>7.9</v>
      </c>
      <c r="F500" t="s">
        <v>1218</v>
      </c>
      <c r="G500" t="s">
        <v>1219</v>
      </c>
      <c r="H500">
        <v>206918</v>
      </c>
      <c r="I500">
        <v>12281500</v>
      </c>
      <c r="J500">
        <v>59</v>
      </c>
      <c r="K500" t="str" cm="1">
        <f t="array" ref="K500">_xlfn.IFS(Table1[[#This Row],[IMDB_Rating]]&gt;=9,"Masterpiece",Table1[[#This Row],[IMDB_Rating]]&gt;=8,"Excellent",Table1[[#This Row],[IMDB_Rating]]&gt;=7,"Good",Table1[[#This Row],[IMDB_Rating]]&lt;7,"Average")</f>
        <v>Good</v>
      </c>
    </row>
    <row r="501" spans="1:11" x14ac:dyDescent="0.35">
      <c r="A501" t="s">
        <v>1926</v>
      </c>
      <c r="B501">
        <v>1963</v>
      </c>
      <c r="C501">
        <v>119</v>
      </c>
      <c r="D501" t="s">
        <v>11</v>
      </c>
      <c r="E501">
        <v>7.7</v>
      </c>
      <c r="F501" t="s">
        <v>146</v>
      </c>
      <c r="G501" t="s">
        <v>1927</v>
      </c>
      <c r="H501">
        <v>171739</v>
      </c>
      <c r="I501">
        <v>11403529</v>
      </c>
      <c r="J501">
        <v>90</v>
      </c>
      <c r="K501" t="str" cm="1">
        <f t="array" ref="K501">_xlfn.IFS(Table1[[#This Row],[IMDB_Rating]]&gt;=9,"Masterpiece",Table1[[#This Row],[IMDB_Rating]]&gt;=8,"Excellent",Table1[[#This Row],[IMDB_Rating]]&gt;=7,"Good",Table1[[#This Row],[IMDB_Rating]]&lt;7,"Average")</f>
        <v>Good</v>
      </c>
    </row>
    <row r="502" spans="1:11" x14ac:dyDescent="0.35">
      <c r="A502" t="s">
        <v>120</v>
      </c>
      <c r="B502">
        <v>1998</v>
      </c>
      <c r="C502">
        <v>119</v>
      </c>
      <c r="D502" t="s">
        <v>11</v>
      </c>
      <c r="E502">
        <v>8.5</v>
      </c>
      <c r="F502" t="s">
        <v>121</v>
      </c>
      <c r="G502" t="s">
        <v>122</v>
      </c>
      <c r="H502">
        <v>1034705</v>
      </c>
      <c r="I502">
        <v>6719864</v>
      </c>
      <c r="J502">
        <v>62</v>
      </c>
      <c r="K502" t="str" cm="1">
        <f t="array" ref="K50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03" spans="1:11" x14ac:dyDescent="0.35">
      <c r="A503" t="s">
        <v>402</v>
      </c>
      <c r="B503">
        <v>2004</v>
      </c>
      <c r="C503">
        <v>119</v>
      </c>
      <c r="D503" t="s">
        <v>80</v>
      </c>
      <c r="E503">
        <v>8.1999999999999993</v>
      </c>
      <c r="F503" t="s">
        <v>81</v>
      </c>
      <c r="G503" t="s">
        <v>403</v>
      </c>
      <c r="H503">
        <v>333915</v>
      </c>
      <c r="I503">
        <v>4711096</v>
      </c>
      <c r="J503">
        <v>80</v>
      </c>
      <c r="K503" t="str" cm="1">
        <f t="array" ref="K503">_xlfn.IFS(Table1[[#This Row],[IMDB_Rating]]&gt;=9,"Masterpiece",Table1[[#This Row],[IMDB_Rating]]&gt;=8,"Excellent",Table1[[#This Row],[IMDB_Rating]]&gt;=7,"Good",Table1[[#This Row],[IMDB_Rating]]&lt;7,"Average")</f>
        <v>Excellent</v>
      </c>
    </row>
    <row r="504" spans="1:11" x14ac:dyDescent="0.35">
      <c r="A504" t="s">
        <v>318</v>
      </c>
      <c r="B504">
        <v>1941</v>
      </c>
      <c r="C504">
        <v>119</v>
      </c>
      <c r="D504" t="s">
        <v>11</v>
      </c>
      <c r="E504">
        <v>8.3000000000000007</v>
      </c>
      <c r="F504" t="s">
        <v>319</v>
      </c>
      <c r="G504" t="s">
        <v>319</v>
      </c>
      <c r="H504">
        <v>403351</v>
      </c>
      <c r="I504">
        <v>1585634</v>
      </c>
      <c r="J504">
        <v>100</v>
      </c>
      <c r="K504" t="str" cm="1">
        <f t="array" ref="K50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05" spans="1:11" x14ac:dyDescent="0.35">
      <c r="A505" t="s">
        <v>1811</v>
      </c>
      <c r="B505">
        <v>1997</v>
      </c>
      <c r="C505">
        <v>119</v>
      </c>
      <c r="D505" t="s">
        <v>11</v>
      </c>
      <c r="E505">
        <v>7.7</v>
      </c>
      <c r="F505" t="s">
        <v>889</v>
      </c>
      <c r="G505" t="s">
        <v>1812</v>
      </c>
      <c r="H505">
        <v>64082</v>
      </c>
      <c r="I505">
        <v>368234</v>
      </c>
      <c r="K505" t="str" cm="1">
        <f t="array" ref="K505">_xlfn.IFS(Table1[[#This Row],[IMDB_Rating]]&gt;=9,"Masterpiece",Table1[[#This Row],[IMDB_Rating]]&gt;=8,"Excellent",Table1[[#This Row],[IMDB_Rating]]&gt;=7,"Good",Table1[[#This Row],[IMDB_Rating]]&lt;7,"Average")</f>
        <v>Good</v>
      </c>
    </row>
    <row r="506" spans="1:11" x14ac:dyDescent="0.35">
      <c r="A506" t="s">
        <v>835</v>
      </c>
      <c r="B506">
        <v>2009</v>
      </c>
      <c r="C506">
        <v>119</v>
      </c>
      <c r="D506" t="s">
        <v>11</v>
      </c>
      <c r="E506">
        <v>8</v>
      </c>
      <c r="F506" t="s">
        <v>239</v>
      </c>
      <c r="G506" t="s">
        <v>836</v>
      </c>
      <c r="H506">
        <v>45803</v>
      </c>
      <c r="I506">
        <v>106662</v>
      </c>
      <c r="J506">
        <v>87</v>
      </c>
      <c r="K506" t="str" cm="1">
        <f t="array" ref="K5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507" spans="1:11" x14ac:dyDescent="0.35">
      <c r="A507" t="s">
        <v>1395</v>
      </c>
      <c r="B507">
        <v>2010</v>
      </c>
      <c r="C507">
        <v>119</v>
      </c>
      <c r="D507" t="s">
        <v>19</v>
      </c>
      <c r="E507">
        <v>7.8</v>
      </c>
      <c r="F507" t="s">
        <v>1396</v>
      </c>
      <c r="G507" t="s">
        <v>1397</v>
      </c>
      <c r="H507">
        <v>62848</v>
      </c>
      <c r="I507">
        <v>6460</v>
      </c>
      <c r="K507" t="str" cm="1">
        <f t="array" ref="K507">_xlfn.IFS(Table1[[#This Row],[IMDB_Rating]]&gt;=9,"Masterpiece",Table1[[#This Row],[IMDB_Rating]]&gt;=8,"Excellent",Table1[[#This Row],[IMDB_Rating]]&gt;=7,"Good",Table1[[#This Row],[IMDB_Rating]]&lt;7,"Average")</f>
        <v>Good</v>
      </c>
    </row>
    <row r="508" spans="1:11" x14ac:dyDescent="0.35">
      <c r="A508" t="s">
        <v>1050</v>
      </c>
      <c r="B508">
        <v>1953</v>
      </c>
      <c r="C508">
        <v>120</v>
      </c>
      <c r="D508" t="s">
        <v>67</v>
      </c>
      <c r="E508">
        <v>8</v>
      </c>
      <c r="F508" t="s">
        <v>216</v>
      </c>
      <c r="G508" t="s">
        <v>222</v>
      </c>
      <c r="H508">
        <v>51046</v>
      </c>
      <c r="I508">
        <v>780722628</v>
      </c>
      <c r="J508">
        <v>84</v>
      </c>
      <c r="K508" t="str" cm="1">
        <f t="array" ref="K508">_xlfn.IFS(Table1[[#This Row],[IMDB_Rating]]&gt;=9,"Masterpiece",Table1[[#This Row],[IMDB_Rating]]&gt;=8,"Excellent",Table1[[#This Row],[IMDB_Rating]]&gt;=7,"Good",Table1[[#This Row],[IMDB_Rating]]&lt;7,"Average")</f>
        <v>Excellent</v>
      </c>
    </row>
    <row r="509" spans="1:11" x14ac:dyDescent="0.35">
      <c r="A509" t="s">
        <v>1315</v>
      </c>
      <c r="B509">
        <v>2019</v>
      </c>
      <c r="C509">
        <v>120</v>
      </c>
      <c r="D509" t="s">
        <v>11</v>
      </c>
      <c r="E509">
        <v>7.8</v>
      </c>
      <c r="F509" t="s">
        <v>1316</v>
      </c>
      <c r="G509" t="s">
        <v>1317</v>
      </c>
      <c r="H509">
        <v>27187</v>
      </c>
      <c r="I509">
        <v>196719735</v>
      </c>
      <c r="J509">
        <v>81</v>
      </c>
      <c r="K509" t="str" cm="1">
        <f t="array" ref="K509">_xlfn.IFS(Table1[[#This Row],[IMDB_Rating]]&gt;=9,"Masterpiece",Table1[[#This Row],[IMDB_Rating]]&gt;=8,"Excellent",Table1[[#This Row],[IMDB_Rating]]&gt;=7,"Good",Table1[[#This Row],[IMDB_Rating]]&lt;7,"Average")</f>
        <v>Good</v>
      </c>
    </row>
    <row r="510" spans="1:11" x14ac:dyDescent="0.35">
      <c r="A510" t="s">
        <v>556</v>
      </c>
      <c r="B510">
        <v>2015</v>
      </c>
      <c r="C510">
        <v>120</v>
      </c>
      <c r="D510" t="s">
        <v>19</v>
      </c>
      <c r="E510">
        <v>8.1</v>
      </c>
      <c r="F510" t="s">
        <v>557</v>
      </c>
      <c r="G510" t="s">
        <v>373</v>
      </c>
      <c r="H510">
        <v>882316</v>
      </c>
      <c r="I510">
        <v>154058340</v>
      </c>
      <c r="J510">
        <v>90</v>
      </c>
      <c r="K510" t="str" cm="1">
        <f t="array" ref="K510">_xlfn.IFS(Table1[[#This Row],[IMDB_Rating]]&gt;=9,"Masterpiece",Table1[[#This Row],[IMDB_Rating]]&gt;=8,"Excellent",Table1[[#This Row],[IMDB_Rating]]&gt;=7,"Good",Table1[[#This Row],[IMDB_Rating]]&lt;7,"Average")</f>
        <v>Excellent</v>
      </c>
    </row>
    <row r="511" spans="1:11" x14ac:dyDescent="0.35">
      <c r="A511" t="s">
        <v>846</v>
      </c>
      <c r="B511">
        <v>2008</v>
      </c>
      <c r="C511">
        <v>120</v>
      </c>
      <c r="D511" t="s">
        <v>11</v>
      </c>
      <c r="E511">
        <v>8</v>
      </c>
      <c r="F511" t="s">
        <v>625</v>
      </c>
      <c r="G511" t="s">
        <v>847</v>
      </c>
      <c r="H511">
        <v>798882</v>
      </c>
      <c r="I511">
        <v>141319928</v>
      </c>
      <c r="J511">
        <v>84</v>
      </c>
      <c r="K511" t="str" cm="1">
        <f t="array" ref="K511">_xlfn.IFS(Table1[[#This Row],[IMDB_Rating]]&gt;=9,"Masterpiece",Table1[[#This Row],[IMDB_Rating]]&gt;=8,"Excellent",Table1[[#This Row],[IMDB_Rating]]&gt;=7,"Good",Table1[[#This Row],[IMDB_Rating]]&lt;7,"Average")</f>
        <v>Excellent</v>
      </c>
    </row>
    <row r="512" spans="1:11" x14ac:dyDescent="0.35">
      <c r="A512" t="s">
        <v>655</v>
      </c>
      <c r="B512">
        <v>1986</v>
      </c>
      <c r="C512">
        <v>120</v>
      </c>
      <c r="D512" t="s">
        <v>11</v>
      </c>
      <c r="E512">
        <v>8.1</v>
      </c>
      <c r="F512" t="s">
        <v>656</v>
      </c>
      <c r="G512" t="s">
        <v>657</v>
      </c>
      <c r="H512">
        <v>381222</v>
      </c>
      <c r="I512">
        <v>138530565</v>
      </c>
      <c r="J512">
        <v>92</v>
      </c>
      <c r="K512" t="str" cm="1">
        <f t="array" ref="K51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13" spans="1:11" x14ac:dyDescent="0.35">
      <c r="A513" t="s">
        <v>1708</v>
      </c>
      <c r="B513">
        <v>2012</v>
      </c>
      <c r="C513">
        <v>120</v>
      </c>
      <c r="D513" t="s">
        <v>34</v>
      </c>
      <c r="E513">
        <v>7.7</v>
      </c>
      <c r="F513" t="s">
        <v>526</v>
      </c>
      <c r="G513" t="s">
        <v>526</v>
      </c>
      <c r="H513">
        <v>572581</v>
      </c>
      <c r="I513">
        <v>136025503</v>
      </c>
      <c r="J513">
        <v>86</v>
      </c>
      <c r="K513" t="str" cm="1">
        <f t="array" ref="K513">_xlfn.IFS(Table1[[#This Row],[IMDB_Rating]]&gt;=9,"Masterpiece",Table1[[#This Row],[IMDB_Rating]]&gt;=8,"Excellent",Table1[[#This Row],[IMDB_Rating]]&gt;=7,"Good",Table1[[#This Row],[IMDB_Rating]]&lt;7,"Average")</f>
        <v>Good</v>
      </c>
    </row>
    <row r="514" spans="1:11" x14ac:dyDescent="0.35">
      <c r="A514" t="s">
        <v>1483</v>
      </c>
      <c r="B514">
        <v>2000</v>
      </c>
      <c r="C514">
        <v>120</v>
      </c>
      <c r="D514" t="s">
        <v>19</v>
      </c>
      <c r="E514">
        <v>7.8</v>
      </c>
      <c r="F514" t="s">
        <v>1165</v>
      </c>
      <c r="G514" t="s">
        <v>1484</v>
      </c>
      <c r="H514">
        <v>253228</v>
      </c>
      <c r="I514">
        <v>128078872</v>
      </c>
      <c r="J514">
        <v>94</v>
      </c>
      <c r="K514" t="str" cm="1">
        <f t="array" ref="K514">_xlfn.IFS(Table1[[#This Row],[IMDB_Rating]]&gt;=9,"Masterpiece",Table1[[#This Row],[IMDB_Rating]]&gt;=8,"Excellent",Table1[[#This Row],[IMDB_Rating]]&gt;=7,"Good",Table1[[#This Row],[IMDB_Rating]]&lt;7,"Average")</f>
        <v>Good</v>
      </c>
    </row>
    <row r="515" spans="1:11" x14ac:dyDescent="0.35">
      <c r="A515" t="s">
        <v>682</v>
      </c>
      <c r="B515">
        <v>1976</v>
      </c>
      <c r="C515">
        <v>120</v>
      </c>
      <c r="D515" t="s">
        <v>11</v>
      </c>
      <c r="E515">
        <v>8.1</v>
      </c>
      <c r="F515" t="s">
        <v>683</v>
      </c>
      <c r="G515" t="s">
        <v>684</v>
      </c>
      <c r="H515">
        <v>518546</v>
      </c>
      <c r="I515">
        <v>117235247</v>
      </c>
      <c r="J515">
        <v>70</v>
      </c>
      <c r="K515" t="str" cm="1">
        <f t="array" ref="K515">_xlfn.IFS(Table1[[#This Row],[IMDB_Rating]]&gt;=9,"Masterpiece",Table1[[#This Row],[IMDB_Rating]]&gt;=8,"Excellent",Table1[[#This Row],[IMDB_Rating]]&gt;=7,"Good",Table1[[#This Row],[IMDB_Rating]]&lt;7,"Average")</f>
        <v>Excellent</v>
      </c>
    </row>
    <row r="516" spans="1:11" x14ac:dyDescent="0.35">
      <c r="A516" t="s">
        <v>1699</v>
      </c>
      <c r="B516">
        <v>2010</v>
      </c>
      <c r="C516">
        <v>120</v>
      </c>
      <c r="D516" t="s">
        <v>34</v>
      </c>
      <c r="E516">
        <v>7.7</v>
      </c>
      <c r="F516" t="s">
        <v>40</v>
      </c>
      <c r="G516" t="s">
        <v>1700</v>
      </c>
      <c r="H516">
        <v>624982</v>
      </c>
      <c r="I516">
        <v>96962694</v>
      </c>
      <c r="J516">
        <v>95</v>
      </c>
      <c r="K516" t="str" cm="1">
        <f t="array" ref="K516">_xlfn.IFS(Table1[[#This Row],[IMDB_Rating]]&gt;=9,"Masterpiece",Table1[[#This Row],[IMDB_Rating]]&gt;=8,"Excellent",Table1[[#This Row],[IMDB_Rating]]&gt;=7,"Good",Table1[[#This Row],[IMDB_Rating]]&lt;7,"Average")</f>
        <v>Good</v>
      </c>
    </row>
    <row r="517" spans="1:11" x14ac:dyDescent="0.35">
      <c r="A517" t="s">
        <v>1185</v>
      </c>
      <c r="B517">
        <v>2002</v>
      </c>
      <c r="C517">
        <v>120</v>
      </c>
      <c r="D517" t="s">
        <v>19</v>
      </c>
      <c r="E517">
        <v>7.9</v>
      </c>
      <c r="F517" t="s">
        <v>649</v>
      </c>
      <c r="G517" t="s">
        <v>1186</v>
      </c>
      <c r="H517">
        <v>173999</v>
      </c>
      <c r="I517">
        <v>53710019</v>
      </c>
      <c r="J517">
        <v>85</v>
      </c>
      <c r="K517" t="str" cm="1">
        <f t="array" ref="K517">_xlfn.IFS(Table1[[#This Row],[IMDB_Rating]]&gt;=9,"Masterpiece",Table1[[#This Row],[IMDB_Rating]]&gt;=8,"Excellent",Table1[[#This Row],[IMDB_Rating]]&gt;=7,"Good",Table1[[#This Row],[IMDB_Rating]]&lt;7,"Average")</f>
        <v>Good</v>
      </c>
    </row>
    <row r="518" spans="1:11" x14ac:dyDescent="0.35">
      <c r="A518" t="s">
        <v>2133</v>
      </c>
      <c r="B518">
        <v>1992</v>
      </c>
      <c r="C518">
        <v>120</v>
      </c>
      <c r="D518" t="s">
        <v>67</v>
      </c>
      <c r="E518">
        <v>7.6</v>
      </c>
      <c r="F518" t="s">
        <v>2134</v>
      </c>
      <c r="G518" t="s">
        <v>2135</v>
      </c>
      <c r="H518">
        <v>107325</v>
      </c>
      <c r="I518">
        <v>52929168</v>
      </c>
      <c r="J518">
        <v>68</v>
      </c>
      <c r="K518" t="str" cm="1">
        <f t="array" ref="K518">_xlfn.IFS(Table1[[#This Row],[IMDB_Rating]]&gt;=9,"Masterpiece",Table1[[#This Row],[IMDB_Rating]]&gt;=8,"Excellent",Table1[[#This Row],[IMDB_Rating]]&gt;=7,"Good",Table1[[#This Row],[IMDB_Rating]]&lt;7,"Average")</f>
        <v>Good</v>
      </c>
    </row>
    <row r="519" spans="1:11" x14ac:dyDescent="0.35">
      <c r="A519" t="s">
        <v>1918</v>
      </c>
      <c r="B519">
        <v>1966</v>
      </c>
      <c r="C519">
        <v>120</v>
      </c>
      <c r="D519" t="s">
        <v>34</v>
      </c>
      <c r="E519">
        <v>7.7</v>
      </c>
      <c r="F519" t="s">
        <v>1285</v>
      </c>
      <c r="G519" t="s">
        <v>1919</v>
      </c>
      <c r="H519">
        <v>31222</v>
      </c>
      <c r="I519">
        <v>28350000</v>
      </c>
      <c r="J519">
        <v>72</v>
      </c>
      <c r="K519" t="str" cm="1">
        <f t="array" ref="K519">_xlfn.IFS(Table1[[#This Row],[IMDB_Rating]]&gt;=9,"Masterpiece",Table1[[#This Row],[IMDB_Rating]]&gt;=8,"Excellent",Table1[[#This Row],[IMDB_Rating]]&gt;=7,"Good",Table1[[#This Row],[IMDB_Rating]]&lt;7,"Average")</f>
        <v>Good</v>
      </c>
    </row>
    <row r="520" spans="1:11" x14ac:dyDescent="0.35">
      <c r="A520" t="s">
        <v>964</v>
      </c>
      <c r="B520">
        <v>1989</v>
      </c>
      <c r="C520">
        <v>120</v>
      </c>
      <c r="D520" t="s">
        <v>67</v>
      </c>
      <c r="E520">
        <v>8</v>
      </c>
      <c r="F520" t="s">
        <v>965</v>
      </c>
      <c r="G520" t="s">
        <v>966</v>
      </c>
      <c r="H520">
        <v>89429</v>
      </c>
      <c r="I520">
        <v>27545445</v>
      </c>
      <c r="J520">
        <v>93</v>
      </c>
      <c r="K520" t="str" cm="1">
        <f t="array" ref="K520">_xlfn.IFS(Table1[[#This Row],[IMDB_Rating]]&gt;=9,"Masterpiece",Table1[[#This Row],[IMDB_Rating]]&gt;=8,"Excellent",Table1[[#This Row],[IMDB_Rating]]&gt;=7,"Good",Table1[[#This Row],[IMDB_Rating]]&lt;7,"Average")</f>
        <v>Excellent</v>
      </c>
    </row>
    <row r="521" spans="1:11" x14ac:dyDescent="0.35">
      <c r="A521" t="s">
        <v>1870</v>
      </c>
      <c r="B521">
        <v>1986</v>
      </c>
      <c r="C521">
        <v>120</v>
      </c>
      <c r="D521" t="s">
        <v>11</v>
      </c>
      <c r="E521">
        <v>7.7</v>
      </c>
      <c r="F521" t="s">
        <v>676</v>
      </c>
      <c r="G521" t="s">
        <v>1871</v>
      </c>
      <c r="H521">
        <v>181285</v>
      </c>
      <c r="I521">
        <v>8551228</v>
      </c>
      <c r="J521">
        <v>76</v>
      </c>
      <c r="K521" t="str" cm="1">
        <f t="array" ref="K521">_xlfn.IFS(Table1[[#This Row],[IMDB_Rating]]&gt;=9,"Masterpiece",Table1[[#This Row],[IMDB_Rating]]&gt;=8,"Excellent",Table1[[#This Row],[IMDB_Rating]]&gt;=7,"Good",Table1[[#This Row],[IMDB_Rating]]&lt;7,"Average")</f>
        <v>Good</v>
      </c>
    </row>
    <row r="522" spans="1:11" x14ac:dyDescent="0.35">
      <c r="A522" t="s">
        <v>2027</v>
      </c>
      <c r="B522">
        <v>2011</v>
      </c>
      <c r="C522">
        <v>120</v>
      </c>
      <c r="D522" t="s">
        <v>11</v>
      </c>
      <c r="E522">
        <v>7.6</v>
      </c>
      <c r="F522" t="s">
        <v>1188</v>
      </c>
      <c r="G522" t="s">
        <v>2028</v>
      </c>
      <c r="H522">
        <v>138959</v>
      </c>
      <c r="I522">
        <v>3185812</v>
      </c>
      <c r="J522">
        <v>70</v>
      </c>
      <c r="K522" t="str" cm="1">
        <f t="array" ref="K522">_xlfn.IFS(Table1[[#This Row],[IMDB_Rating]]&gt;=9,"Masterpiece",Table1[[#This Row],[IMDB_Rating]]&gt;=8,"Excellent",Table1[[#This Row],[IMDB_Rating]]&gt;=7,"Good",Table1[[#This Row],[IMDB_Rating]]&lt;7,"Average")</f>
        <v>Good</v>
      </c>
    </row>
    <row r="523" spans="1:11" x14ac:dyDescent="0.35">
      <c r="A523" t="s">
        <v>1734</v>
      </c>
      <c r="B523">
        <v>2006</v>
      </c>
      <c r="C523">
        <v>120</v>
      </c>
      <c r="D523" t="s">
        <v>11</v>
      </c>
      <c r="E523">
        <v>7.7</v>
      </c>
      <c r="F523" t="s">
        <v>1735</v>
      </c>
      <c r="G523" t="s">
        <v>237</v>
      </c>
      <c r="H523">
        <v>32001</v>
      </c>
      <c r="I523">
        <v>412544</v>
      </c>
      <c r="J523">
        <v>78</v>
      </c>
      <c r="K523" t="str" cm="1">
        <f t="array" ref="K523">_xlfn.IFS(Table1[[#This Row],[IMDB_Rating]]&gt;=9,"Masterpiece",Table1[[#This Row],[IMDB_Rating]]&gt;=8,"Excellent",Table1[[#This Row],[IMDB_Rating]]&gt;=7,"Good",Table1[[#This Row],[IMDB_Rating]]&lt;7,"Average")</f>
        <v>Good</v>
      </c>
    </row>
    <row r="524" spans="1:11" x14ac:dyDescent="0.35">
      <c r="A524" t="s">
        <v>1784</v>
      </c>
      <c r="B524">
        <v>2001</v>
      </c>
      <c r="C524">
        <v>120</v>
      </c>
      <c r="D524" t="s">
        <v>11</v>
      </c>
      <c r="E524">
        <v>7.7</v>
      </c>
      <c r="F524" t="s">
        <v>400</v>
      </c>
      <c r="G524" t="s">
        <v>1785</v>
      </c>
      <c r="H524">
        <v>90842</v>
      </c>
      <c r="I524">
        <v>141072</v>
      </c>
      <c r="J524">
        <v>60</v>
      </c>
      <c r="K524" t="str" cm="1">
        <f t="array" ref="K524">_xlfn.IFS(Table1[[#This Row],[IMDB_Rating]]&gt;=9,"Masterpiece",Table1[[#This Row],[IMDB_Rating]]&gt;=8,"Excellent",Table1[[#This Row],[IMDB_Rating]]&gt;=7,"Good",Table1[[#This Row],[IMDB_Rating]]&lt;7,"Average")</f>
        <v>Good</v>
      </c>
    </row>
    <row r="525" spans="1:11" x14ac:dyDescent="0.35">
      <c r="A525" t="s">
        <v>685</v>
      </c>
      <c r="B525">
        <v>1976</v>
      </c>
      <c r="C525">
        <v>121</v>
      </c>
      <c r="D525" t="s">
        <v>11</v>
      </c>
      <c r="E525">
        <v>8.1</v>
      </c>
      <c r="F525" t="s">
        <v>25</v>
      </c>
      <c r="G525" t="s">
        <v>686</v>
      </c>
      <c r="H525">
        <v>144911</v>
      </c>
      <c r="I525">
        <v>683407829</v>
      </c>
      <c r="J525">
        <v>83</v>
      </c>
      <c r="K525" t="str" cm="1">
        <f t="array" ref="K5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526" spans="1:11" x14ac:dyDescent="0.35">
      <c r="A526" t="s">
        <v>812</v>
      </c>
      <c r="B526">
        <v>2014</v>
      </c>
      <c r="C526">
        <v>121</v>
      </c>
      <c r="D526" t="s">
        <v>19</v>
      </c>
      <c r="E526">
        <v>8</v>
      </c>
      <c r="F526" t="s">
        <v>813</v>
      </c>
      <c r="G526" t="s">
        <v>814</v>
      </c>
      <c r="H526">
        <v>1043455</v>
      </c>
      <c r="I526">
        <v>333176600</v>
      </c>
      <c r="J526">
        <v>76</v>
      </c>
      <c r="K526" t="str" cm="1">
        <f t="array" ref="K526">_xlfn.IFS(Table1[[#This Row],[IMDB_Rating]]&gt;=9,"Masterpiece",Table1[[#This Row],[IMDB_Rating]]&gt;=8,"Excellent",Table1[[#This Row],[IMDB_Rating]]&gt;=7,"Good",Table1[[#This Row],[IMDB_Rating]]&lt;7,"Average")</f>
        <v>Excellent</v>
      </c>
    </row>
    <row r="527" spans="1:11" x14ac:dyDescent="0.35">
      <c r="A527" t="s">
        <v>92</v>
      </c>
      <c r="B527">
        <v>1977</v>
      </c>
      <c r="C527">
        <v>121</v>
      </c>
      <c r="D527" t="s">
        <v>19</v>
      </c>
      <c r="E527">
        <v>8.6</v>
      </c>
      <c r="F527" t="s">
        <v>93</v>
      </c>
      <c r="G527" t="s">
        <v>59</v>
      </c>
      <c r="H527">
        <v>1231473</v>
      </c>
      <c r="I527">
        <v>322740140</v>
      </c>
      <c r="J527">
        <v>90</v>
      </c>
      <c r="K527" t="str" cm="1">
        <f t="array" ref="K527">_xlfn.IFS(Table1[[#This Row],[IMDB_Rating]]&gt;=9,"Masterpiece",Table1[[#This Row],[IMDB_Rating]]&gt;=8,"Excellent",Table1[[#This Row],[IMDB_Rating]]&gt;=7,"Good",Table1[[#This Row],[IMDB_Rating]]&lt;7,"Average")</f>
        <v>Excellent</v>
      </c>
    </row>
    <row r="528" spans="1:11" x14ac:dyDescent="0.35">
      <c r="A528" t="s">
        <v>1179</v>
      </c>
      <c r="B528">
        <v>2004</v>
      </c>
      <c r="C528">
        <v>121</v>
      </c>
      <c r="D528" t="s">
        <v>11</v>
      </c>
      <c r="E528">
        <v>7.9</v>
      </c>
      <c r="F528" t="s">
        <v>1180</v>
      </c>
      <c r="G528" t="s">
        <v>1181</v>
      </c>
      <c r="H528">
        <v>51325</v>
      </c>
      <c r="I528">
        <v>213063755</v>
      </c>
      <c r="J528">
        <v>78</v>
      </c>
      <c r="K528" t="str" cm="1">
        <f t="array" ref="K528">_xlfn.IFS(Table1[[#This Row],[IMDB_Rating]]&gt;=9,"Masterpiece",Table1[[#This Row],[IMDB_Rating]]&gt;=8,"Excellent",Table1[[#This Row],[IMDB_Rating]]&gt;=7,"Good",Table1[[#This Row],[IMDB_Rating]]&lt;7,"Average")</f>
        <v>Good</v>
      </c>
    </row>
    <row r="529" spans="1:11" x14ac:dyDescent="0.35">
      <c r="A529" t="s">
        <v>1534</v>
      </c>
      <c r="B529">
        <v>1990</v>
      </c>
      <c r="C529">
        <v>121</v>
      </c>
      <c r="D529" t="s">
        <v>34</v>
      </c>
      <c r="E529">
        <v>7.8</v>
      </c>
      <c r="F529" t="s">
        <v>1535</v>
      </c>
      <c r="G529" t="s">
        <v>56</v>
      </c>
      <c r="H529">
        <v>125276</v>
      </c>
      <c r="I529">
        <v>52096475</v>
      </c>
      <c r="J529">
        <v>74</v>
      </c>
      <c r="K529" t="str" cm="1">
        <f t="array" ref="K529">_xlfn.IFS(Table1[[#This Row],[IMDB_Rating]]&gt;=9,"Masterpiece",Table1[[#This Row],[IMDB_Rating]]&gt;=8,"Excellent",Table1[[#This Row],[IMDB_Rating]]&gt;=7,"Good",Table1[[#This Row],[IMDB_Rating]]&lt;7,"Average")</f>
        <v>Good</v>
      </c>
    </row>
    <row r="530" spans="1:11" x14ac:dyDescent="0.35">
      <c r="A530" t="s">
        <v>1988</v>
      </c>
      <c r="B530">
        <v>2015</v>
      </c>
      <c r="C530">
        <v>121</v>
      </c>
      <c r="D530" t="s">
        <v>19</v>
      </c>
      <c r="E530">
        <v>7.6</v>
      </c>
      <c r="F530" t="s">
        <v>242</v>
      </c>
      <c r="G530" t="s">
        <v>1989</v>
      </c>
      <c r="H530">
        <v>371291</v>
      </c>
      <c r="I530">
        <v>46889293</v>
      </c>
      <c r="J530">
        <v>82</v>
      </c>
      <c r="K530" t="str" cm="1">
        <f t="array" ref="K530">_xlfn.IFS(Table1[[#This Row],[IMDB_Rating]]&gt;=9,"Masterpiece",Table1[[#This Row],[IMDB_Rating]]&gt;=8,"Excellent",Table1[[#This Row],[IMDB_Rating]]&gt;=7,"Good",Table1[[#This Row],[IMDB_Rating]]&lt;7,"Average")</f>
        <v>Good</v>
      </c>
    </row>
    <row r="531" spans="1:11" x14ac:dyDescent="0.35">
      <c r="A531" t="s">
        <v>2165</v>
      </c>
      <c r="B531">
        <v>1978</v>
      </c>
      <c r="C531">
        <v>121</v>
      </c>
      <c r="D531" t="s">
        <v>34</v>
      </c>
      <c r="E531">
        <v>7.6</v>
      </c>
      <c r="F531" t="s">
        <v>667</v>
      </c>
      <c r="G531" t="s">
        <v>2166</v>
      </c>
      <c r="H531">
        <v>73662</v>
      </c>
      <c r="I531">
        <v>35000000</v>
      </c>
      <c r="J531">
        <v>59</v>
      </c>
      <c r="K531" t="str" cm="1">
        <f t="array" ref="K531">_xlfn.IFS(Table1[[#This Row],[IMDB_Rating]]&gt;=9,"Masterpiece",Table1[[#This Row],[IMDB_Rating]]&gt;=8,"Excellent",Table1[[#This Row],[IMDB_Rating]]&gt;=7,"Good",Table1[[#This Row],[IMDB_Rating]]&lt;7,"Average")</f>
        <v>Good</v>
      </c>
    </row>
    <row r="532" spans="1:11" x14ac:dyDescent="0.35">
      <c r="A532" t="s">
        <v>458</v>
      </c>
      <c r="B532">
        <v>1959</v>
      </c>
      <c r="C532">
        <v>121</v>
      </c>
      <c r="D532" t="s">
        <v>67</v>
      </c>
      <c r="E532">
        <v>8.1999999999999993</v>
      </c>
      <c r="F532" t="s">
        <v>216</v>
      </c>
      <c r="G532" t="s">
        <v>459</v>
      </c>
      <c r="H532">
        <v>243943</v>
      </c>
      <c r="I532">
        <v>25000000</v>
      </c>
      <c r="J532">
        <v>98</v>
      </c>
      <c r="K532" t="str" cm="1">
        <f t="array" ref="K53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33" spans="1:11" x14ac:dyDescent="0.35">
      <c r="A533" t="s">
        <v>1447</v>
      </c>
      <c r="B533">
        <v>2007</v>
      </c>
      <c r="C533">
        <v>121</v>
      </c>
      <c r="D533" t="s">
        <v>19</v>
      </c>
      <c r="E533">
        <v>7.8</v>
      </c>
      <c r="F533" t="s">
        <v>1177</v>
      </c>
      <c r="G533" t="s">
        <v>1178</v>
      </c>
      <c r="H533">
        <v>463466</v>
      </c>
      <c r="I533">
        <v>23637265</v>
      </c>
      <c r="J533">
        <v>81</v>
      </c>
      <c r="K533" t="str" cm="1">
        <f t="array" ref="K533">_xlfn.IFS(Table1[[#This Row],[IMDB_Rating]]&gt;=9,"Masterpiece",Table1[[#This Row],[IMDB_Rating]]&gt;=8,"Excellent",Table1[[#This Row],[IMDB_Rating]]&gt;=7,"Good",Table1[[#This Row],[IMDB_Rating]]&lt;7,"Average")</f>
        <v>Good</v>
      </c>
    </row>
    <row r="534" spans="1:11" x14ac:dyDescent="0.35">
      <c r="A534" t="s">
        <v>587</v>
      </c>
      <c r="B534">
        <v>2004</v>
      </c>
      <c r="C534">
        <v>121</v>
      </c>
      <c r="D534" t="s">
        <v>34</v>
      </c>
      <c r="E534">
        <v>8.1</v>
      </c>
      <c r="F534" t="s">
        <v>588</v>
      </c>
      <c r="G534" t="s">
        <v>589</v>
      </c>
      <c r="H534">
        <v>334320</v>
      </c>
      <c r="I534">
        <v>23530892</v>
      </c>
      <c r="J534">
        <v>79</v>
      </c>
      <c r="K534" t="str" cm="1">
        <f t="array" ref="K53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35" spans="1:11" x14ac:dyDescent="0.35">
      <c r="A535" t="s">
        <v>1519</v>
      </c>
      <c r="B535">
        <v>1993</v>
      </c>
      <c r="C535">
        <v>121</v>
      </c>
      <c r="D535" t="s">
        <v>15</v>
      </c>
      <c r="E535">
        <v>7.8</v>
      </c>
      <c r="F535" t="s">
        <v>56</v>
      </c>
      <c r="G535" t="s">
        <v>56</v>
      </c>
      <c r="H535">
        <v>128171</v>
      </c>
      <c r="I535">
        <v>17266971</v>
      </c>
      <c r="J535">
        <v>80</v>
      </c>
      <c r="K535" t="str" cm="1">
        <f t="array" ref="K535">_xlfn.IFS(Table1[[#This Row],[IMDB_Rating]]&gt;=9,"Masterpiece",Table1[[#This Row],[IMDB_Rating]]&gt;=8,"Excellent",Table1[[#This Row],[IMDB_Rating]]&gt;=7,"Good",Table1[[#This Row],[IMDB_Rating]]&lt;7,"Average")</f>
        <v>Good</v>
      </c>
    </row>
    <row r="536" spans="1:11" x14ac:dyDescent="0.35">
      <c r="A536" t="s">
        <v>1774</v>
      </c>
      <c r="B536">
        <v>2003</v>
      </c>
      <c r="C536">
        <v>121</v>
      </c>
      <c r="D536" t="s">
        <v>67</v>
      </c>
      <c r="E536">
        <v>7.7</v>
      </c>
      <c r="F536" t="s">
        <v>1775</v>
      </c>
      <c r="G536" t="s">
        <v>540</v>
      </c>
      <c r="H536">
        <v>137981</v>
      </c>
      <c r="I536">
        <v>4064200</v>
      </c>
      <c r="J536">
        <v>68</v>
      </c>
      <c r="K536" t="str" cm="1">
        <f t="array" ref="K536">_xlfn.IFS(Table1[[#This Row],[IMDB_Rating]]&gt;=9,"Masterpiece",Table1[[#This Row],[IMDB_Rating]]&gt;=8,"Excellent",Table1[[#This Row],[IMDB_Rating]]&gt;=7,"Good",Table1[[#This Row],[IMDB_Rating]]&lt;7,"Average")</f>
        <v>Good</v>
      </c>
    </row>
    <row r="537" spans="1:11" x14ac:dyDescent="0.35">
      <c r="A537" t="s">
        <v>1087</v>
      </c>
      <c r="B537">
        <v>2018</v>
      </c>
      <c r="C537">
        <v>121</v>
      </c>
      <c r="D537" t="s">
        <v>15</v>
      </c>
      <c r="E537">
        <v>7.9</v>
      </c>
      <c r="F537" t="s">
        <v>1088</v>
      </c>
      <c r="G537" t="s">
        <v>1089</v>
      </c>
      <c r="H537">
        <v>62754</v>
      </c>
      <c r="I537">
        <v>3313513</v>
      </c>
      <c r="J537">
        <v>93</v>
      </c>
      <c r="K537" t="str" cm="1">
        <f t="array" ref="K537">_xlfn.IFS(Table1[[#This Row],[IMDB_Rating]]&gt;=9,"Masterpiece",Table1[[#This Row],[IMDB_Rating]]&gt;=8,"Excellent",Table1[[#This Row],[IMDB_Rating]]&gt;=7,"Good",Table1[[#This Row],[IMDB_Rating]]&lt;7,"Average")</f>
        <v>Good</v>
      </c>
    </row>
    <row r="538" spans="1:11" x14ac:dyDescent="0.35">
      <c r="A538" t="s">
        <v>2123</v>
      </c>
      <c r="B538">
        <v>1995</v>
      </c>
      <c r="C538">
        <v>121</v>
      </c>
      <c r="D538" t="s">
        <v>74</v>
      </c>
      <c r="E538">
        <v>7.6</v>
      </c>
      <c r="F538" t="s">
        <v>1526</v>
      </c>
      <c r="G538" t="s">
        <v>900</v>
      </c>
      <c r="H538">
        <v>90442</v>
      </c>
      <c r="I538">
        <v>1037847</v>
      </c>
      <c r="J538">
        <v>62</v>
      </c>
      <c r="K538" t="str" cm="1">
        <f t="array" ref="K538">_xlfn.IFS(Table1[[#This Row],[IMDB_Rating]]&gt;=9,"Masterpiece",Table1[[#This Row],[IMDB_Rating]]&gt;=8,"Excellent",Table1[[#This Row],[IMDB_Rating]]&gt;=7,"Good",Table1[[#This Row],[IMDB_Rating]]&lt;7,"Average")</f>
        <v>Good</v>
      </c>
    </row>
    <row r="539" spans="1:11" x14ac:dyDescent="0.35">
      <c r="A539" t="s">
        <v>707</v>
      </c>
      <c r="B539">
        <v>1966</v>
      </c>
      <c r="C539">
        <v>121</v>
      </c>
      <c r="D539" t="s">
        <v>11</v>
      </c>
      <c r="E539">
        <v>8.1</v>
      </c>
      <c r="F539" t="s">
        <v>708</v>
      </c>
      <c r="G539" t="s">
        <v>709</v>
      </c>
      <c r="H539">
        <v>53089</v>
      </c>
      <c r="I539">
        <v>55908</v>
      </c>
      <c r="J539">
        <v>96</v>
      </c>
      <c r="K539" t="str" cm="1">
        <f t="array" ref="K539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0" spans="1:11" x14ac:dyDescent="0.35">
      <c r="A540" t="s">
        <v>209</v>
      </c>
      <c r="B540">
        <v>1971</v>
      </c>
      <c r="C540">
        <v>122</v>
      </c>
      <c r="D540" t="s">
        <v>11</v>
      </c>
      <c r="E540">
        <v>8.4</v>
      </c>
      <c r="F540" t="s">
        <v>210</v>
      </c>
      <c r="G540" t="s">
        <v>211</v>
      </c>
      <c r="H540">
        <v>30273</v>
      </c>
      <c r="I540">
        <v>472504446</v>
      </c>
      <c r="K540" t="str" cm="1">
        <f t="array" ref="K540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1" spans="1:11" x14ac:dyDescent="0.35">
      <c r="A541" t="s">
        <v>103</v>
      </c>
      <c r="B541">
        <v>2019</v>
      </c>
      <c r="C541">
        <v>122</v>
      </c>
      <c r="D541" t="s">
        <v>15</v>
      </c>
      <c r="E541">
        <v>8.5</v>
      </c>
      <c r="F541" t="s">
        <v>104</v>
      </c>
      <c r="G541" t="s">
        <v>105</v>
      </c>
      <c r="H541">
        <v>939252</v>
      </c>
      <c r="I541">
        <v>335451311</v>
      </c>
      <c r="J541">
        <v>59</v>
      </c>
      <c r="K541" t="str" cm="1">
        <f t="array" ref="K541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2" spans="1:11" x14ac:dyDescent="0.35">
      <c r="A542" t="s">
        <v>998</v>
      </c>
      <c r="B542">
        <v>1973</v>
      </c>
      <c r="C542">
        <v>122</v>
      </c>
      <c r="D542" t="s">
        <v>145</v>
      </c>
      <c r="E542">
        <v>8</v>
      </c>
      <c r="F542" t="s">
        <v>999</v>
      </c>
      <c r="G542" t="s">
        <v>262</v>
      </c>
      <c r="H542">
        <v>362393</v>
      </c>
      <c r="I542">
        <v>232906145</v>
      </c>
      <c r="J542">
        <v>81</v>
      </c>
      <c r="K542" t="str" cm="1">
        <f t="array" ref="K54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3" spans="1:11" x14ac:dyDescent="0.35">
      <c r="A543" t="s">
        <v>1706</v>
      </c>
      <c r="B543">
        <v>2012</v>
      </c>
      <c r="C543">
        <v>122</v>
      </c>
      <c r="D543" t="s">
        <v>67</v>
      </c>
      <c r="E543">
        <v>7.7</v>
      </c>
      <c r="F543" t="s">
        <v>1418</v>
      </c>
      <c r="G543" t="s">
        <v>1707</v>
      </c>
      <c r="H543">
        <v>661871</v>
      </c>
      <c r="I543">
        <v>132092958</v>
      </c>
      <c r="J543">
        <v>81</v>
      </c>
      <c r="K543" t="str" cm="1">
        <f t="array" ref="K543">_xlfn.IFS(Table1[[#This Row],[IMDB_Rating]]&gt;=9,"Masterpiece",Table1[[#This Row],[IMDB_Rating]]&gt;=8,"Excellent",Table1[[#This Row],[IMDB_Rating]]&gt;=7,"Good",Table1[[#This Row],[IMDB_Rating]]&lt;7,"Average")</f>
        <v>Good</v>
      </c>
    </row>
    <row r="544" spans="1:11" x14ac:dyDescent="0.35">
      <c r="A544" t="s">
        <v>263</v>
      </c>
      <c r="B544">
        <v>1999</v>
      </c>
      <c r="C544">
        <v>122</v>
      </c>
      <c r="D544" t="s">
        <v>11</v>
      </c>
      <c r="E544">
        <v>8.3000000000000007</v>
      </c>
      <c r="F544" t="s">
        <v>224</v>
      </c>
      <c r="G544" t="s">
        <v>125</v>
      </c>
      <c r="H544">
        <v>1069738</v>
      </c>
      <c r="I544">
        <v>130096601</v>
      </c>
      <c r="J544">
        <v>84</v>
      </c>
      <c r="K544" t="str" cm="1">
        <f t="array" ref="K54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5" spans="1:11" x14ac:dyDescent="0.35">
      <c r="A545" t="s">
        <v>1807</v>
      </c>
      <c r="B545">
        <v>2001</v>
      </c>
      <c r="C545">
        <v>122</v>
      </c>
      <c r="D545" t="s">
        <v>15</v>
      </c>
      <c r="E545">
        <v>7.7</v>
      </c>
      <c r="F545" t="s">
        <v>1808</v>
      </c>
      <c r="G545" t="s">
        <v>1436</v>
      </c>
      <c r="H545">
        <v>390247</v>
      </c>
      <c r="I545">
        <v>76631907</v>
      </c>
      <c r="J545">
        <v>69</v>
      </c>
      <c r="K545" t="str" cm="1">
        <f t="array" ref="K545">_xlfn.IFS(Table1[[#This Row],[IMDB_Rating]]&gt;=9,"Masterpiece",Table1[[#This Row],[IMDB_Rating]]&gt;=8,"Excellent",Table1[[#This Row],[IMDB_Rating]]&gt;=7,"Good",Table1[[#This Row],[IMDB_Rating]]&lt;7,"Average")</f>
        <v>Good</v>
      </c>
    </row>
    <row r="546" spans="1:11" x14ac:dyDescent="0.35">
      <c r="A546" t="s">
        <v>580</v>
      </c>
      <c r="B546">
        <v>2007</v>
      </c>
      <c r="C546">
        <v>122</v>
      </c>
      <c r="D546" t="s">
        <v>15</v>
      </c>
      <c r="E546">
        <v>8.1</v>
      </c>
      <c r="F546" t="s">
        <v>581</v>
      </c>
      <c r="G546" t="s">
        <v>582</v>
      </c>
      <c r="H546">
        <v>856916</v>
      </c>
      <c r="I546">
        <v>74283625</v>
      </c>
      <c r="J546">
        <v>91</v>
      </c>
      <c r="K546" t="str" cm="1">
        <f t="array" ref="K546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7" spans="1:11" x14ac:dyDescent="0.35">
      <c r="A547" t="s">
        <v>1754</v>
      </c>
      <c r="B547">
        <v>2007</v>
      </c>
      <c r="C547">
        <v>122</v>
      </c>
      <c r="D547" t="s">
        <v>19</v>
      </c>
      <c r="E547">
        <v>7.7</v>
      </c>
      <c r="F547" t="s">
        <v>505</v>
      </c>
      <c r="G547" t="s">
        <v>119</v>
      </c>
      <c r="H547">
        <v>288797</v>
      </c>
      <c r="I547">
        <v>53606916</v>
      </c>
      <c r="J547">
        <v>76</v>
      </c>
      <c r="K547" t="str" cm="1">
        <f t="array" ref="K547">_xlfn.IFS(Table1[[#This Row],[IMDB_Rating]]&gt;=9,"Masterpiece",Table1[[#This Row],[IMDB_Rating]]&gt;=8,"Excellent",Table1[[#This Row],[IMDB_Rating]]&gt;=7,"Good",Table1[[#This Row],[IMDB_Rating]]&lt;7,"Average")</f>
        <v>Good</v>
      </c>
    </row>
    <row r="548" spans="1:11" x14ac:dyDescent="0.35">
      <c r="A548" t="s">
        <v>254</v>
      </c>
      <c r="B548">
        <v>2001</v>
      </c>
      <c r="C548">
        <v>122</v>
      </c>
      <c r="D548" t="s">
        <v>67</v>
      </c>
      <c r="E548">
        <v>8.3000000000000007</v>
      </c>
      <c r="F548" t="s">
        <v>255</v>
      </c>
      <c r="G548" t="s">
        <v>256</v>
      </c>
      <c r="H548">
        <v>703810</v>
      </c>
      <c r="I548">
        <v>33225499</v>
      </c>
      <c r="J548">
        <v>69</v>
      </c>
      <c r="K548" t="str" cm="1">
        <f t="array" ref="K548">_xlfn.IFS(Table1[[#This Row],[IMDB_Rating]]&gt;=9,"Masterpiece",Table1[[#This Row],[IMDB_Rating]]&gt;=8,"Excellent",Table1[[#This Row],[IMDB_Rating]]&gt;=7,"Good",Table1[[#This Row],[IMDB_Rating]]&lt;7,"Average")</f>
        <v>Excellent</v>
      </c>
    </row>
    <row r="549" spans="1:11" x14ac:dyDescent="0.35">
      <c r="A549" t="s">
        <v>1202</v>
      </c>
      <c r="B549">
        <v>2000</v>
      </c>
      <c r="C549">
        <v>122</v>
      </c>
      <c r="D549" t="s">
        <v>74</v>
      </c>
      <c r="E549">
        <v>7.9</v>
      </c>
      <c r="F549" t="s">
        <v>1203</v>
      </c>
      <c r="G549" t="s">
        <v>1204</v>
      </c>
      <c r="H549">
        <v>252586</v>
      </c>
      <c r="I549">
        <v>32534850</v>
      </c>
      <c r="J549">
        <v>90</v>
      </c>
      <c r="K549" t="str" cm="1">
        <f t="array" ref="K549">_xlfn.IFS(Table1[[#This Row],[IMDB_Rating]]&gt;=9,"Masterpiece",Table1[[#This Row],[IMDB_Rating]]&gt;=8,"Excellent",Table1[[#This Row],[IMDB_Rating]]&gt;=7,"Good",Table1[[#This Row],[IMDB_Rating]]&lt;7,"Average")</f>
        <v>Good</v>
      </c>
    </row>
    <row r="550" spans="1:11" x14ac:dyDescent="0.35">
      <c r="A550" t="s">
        <v>1538</v>
      </c>
      <c r="B550">
        <v>1989</v>
      </c>
      <c r="C550">
        <v>122</v>
      </c>
      <c r="D550" t="s">
        <v>34</v>
      </c>
      <c r="E550">
        <v>7.8</v>
      </c>
      <c r="F550" t="s">
        <v>863</v>
      </c>
      <c r="G550" t="s">
        <v>1539</v>
      </c>
      <c r="H550">
        <v>122779</v>
      </c>
      <c r="I550">
        <v>26830000</v>
      </c>
      <c r="J550">
        <v>78</v>
      </c>
      <c r="K550" t="str" cm="1">
        <f t="array" ref="K550">_xlfn.IFS(Table1[[#This Row],[IMDB_Rating]]&gt;=9,"Masterpiece",Table1[[#This Row],[IMDB_Rating]]&gt;=8,"Excellent",Table1[[#This Row],[IMDB_Rating]]&gt;=7,"Good",Table1[[#This Row],[IMDB_Rating]]&lt;7,"Average")</f>
        <v>Good</v>
      </c>
    </row>
    <row r="551" spans="1:11" x14ac:dyDescent="0.35">
      <c r="A551" t="s">
        <v>2064</v>
      </c>
      <c r="B551">
        <v>2005</v>
      </c>
      <c r="C551">
        <v>122</v>
      </c>
      <c r="D551" t="s">
        <v>19</v>
      </c>
      <c r="E551">
        <v>7.6</v>
      </c>
      <c r="F551" t="s">
        <v>1500</v>
      </c>
      <c r="G551" t="s">
        <v>1781</v>
      </c>
      <c r="H551">
        <v>294140</v>
      </c>
      <c r="I551">
        <v>24149632</v>
      </c>
      <c r="J551">
        <v>62</v>
      </c>
      <c r="K551" t="str" cm="1">
        <f t="array" ref="K551">_xlfn.IFS(Table1[[#This Row],[IMDB_Rating]]&gt;=9,"Masterpiece",Table1[[#This Row],[IMDB_Rating]]&gt;=8,"Excellent",Table1[[#This Row],[IMDB_Rating]]&gt;=7,"Good",Table1[[#This Row],[IMDB_Rating]]&lt;7,"Average")</f>
        <v>Good</v>
      </c>
    </row>
    <row r="552" spans="1:11" x14ac:dyDescent="0.35">
      <c r="A552" t="s">
        <v>1715</v>
      </c>
      <c r="B552">
        <v>2008</v>
      </c>
      <c r="C552">
        <v>122</v>
      </c>
      <c r="D552" t="s">
        <v>34</v>
      </c>
      <c r="E552">
        <v>7.7</v>
      </c>
      <c r="F552" t="s">
        <v>405</v>
      </c>
      <c r="G552" t="s">
        <v>1716</v>
      </c>
      <c r="H552">
        <v>103330</v>
      </c>
      <c r="I552">
        <v>18593156</v>
      </c>
      <c r="J552">
        <v>80</v>
      </c>
      <c r="K552" t="str" cm="1">
        <f t="array" ref="K552">_xlfn.IFS(Table1[[#This Row],[IMDB_Rating]]&gt;=9,"Masterpiece",Table1[[#This Row],[IMDB_Rating]]&gt;=8,"Excellent",Table1[[#This Row],[IMDB_Rating]]&gt;=7,"Good",Table1[[#This Row],[IMDB_Rating]]&lt;7,"Average")</f>
        <v>Good</v>
      </c>
    </row>
    <row r="553" spans="1:11" x14ac:dyDescent="0.35">
      <c r="A553" t="s">
        <v>1052</v>
      </c>
      <c r="B553">
        <v>1951</v>
      </c>
      <c r="C553">
        <v>122</v>
      </c>
      <c r="D553" t="s">
        <v>11</v>
      </c>
      <c r="E553">
        <v>8</v>
      </c>
      <c r="F553" t="s">
        <v>735</v>
      </c>
      <c r="G553" t="s">
        <v>1053</v>
      </c>
      <c r="H553">
        <v>99182</v>
      </c>
      <c r="I553">
        <v>8000000</v>
      </c>
      <c r="J553">
        <v>97</v>
      </c>
      <c r="K553" t="str" cm="1">
        <f t="array" ref="K5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554" spans="1:11" x14ac:dyDescent="0.35">
      <c r="A554" t="s">
        <v>484</v>
      </c>
      <c r="B554">
        <v>2019</v>
      </c>
      <c r="C554">
        <v>122</v>
      </c>
      <c r="D554" t="s">
        <v>11</v>
      </c>
      <c r="E554">
        <v>8.1</v>
      </c>
      <c r="F554" t="s">
        <v>485</v>
      </c>
      <c r="G554" t="s">
        <v>486</v>
      </c>
      <c r="H554">
        <v>63134</v>
      </c>
      <c r="I554">
        <v>3759854</v>
      </c>
      <c r="J554">
        <v>95</v>
      </c>
      <c r="K554" t="str" cm="1">
        <f t="array" ref="K55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55" spans="1:11" x14ac:dyDescent="0.35">
      <c r="A555" t="s">
        <v>510</v>
      </c>
      <c r="B555">
        <v>2014</v>
      </c>
      <c r="C555">
        <v>122</v>
      </c>
      <c r="D555" t="s">
        <v>67</v>
      </c>
      <c r="E555">
        <v>8.1</v>
      </c>
      <c r="F555" t="s">
        <v>511</v>
      </c>
      <c r="G555" t="s">
        <v>512</v>
      </c>
      <c r="H555">
        <v>177059</v>
      </c>
      <c r="I555">
        <v>3107072</v>
      </c>
      <c r="J555">
        <v>77</v>
      </c>
      <c r="K555" t="str" cm="1">
        <f t="array" ref="K5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556" spans="1:11" x14ac:dyDescent="0.35">
      <c r="A556" t="s">
        <v>549</v>
      </c>
      <c r="B556">
        <v>2012</v>
      </c>
      <c r="C556">
        <v>122</v>
      </c>
      <c r="D556" t="s">
        <v>196</v>
      </c>
      <c r="E556">
        <v>8.1</v>
      </c>
      <c r="F556" t="s">
        <v>550</v>
      </c>
      <c r="G556" t="s">
        <v>551</v>
      </c>
      <c r="H556">
        <v>57806</v>
      </c>
      <c r="I556">
        <v>1035953</v>
      </c>
      <c r="K556" t="str" cm="1">
        <f t="array" ref="K5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557" spans="1:11" x14ac:dyDescent="0.35">
      <c r="A557" t="s">
        <v>1745</v>
      </c>
      <c r="B557">
        <v>2007</v>
      </c>
      <c r="C557">
        <v>122</v>
      </c>
      <c r="D557" t="s">
        <v>34</v>
      </c>
      <c r="E557">
        <v>7.7</v>
      </c>
      <c r="F557" t="s">
        <v>1746</v>
      </c>
      <c r="G557" t="s">
        <v>1747</v>
      </c>
      <c r="H557">
        <v>61609</v>
      </c>
      <c r="I557">
        <v>871577</v>
      </c>
      <c r="J557">
        <v>78</v>
      </c>
      <c r="K557" t="str" cm="1">
        <f t="array" ref="K557">_xlfn.IFS(Table1[[#This Row],[IMDB_Rating]]&gt;=9,"Masterpiece",Table1[[#This Row],[IMDB_Rating]]&gt;=8,"Excellent",Table1[[#This Row],[IMDB_Rating]]&gt;=7,"Good",Table1[[#This Row],[IMDB_Rating]]&lt;7,"Average")</f>
        <v>Good</v>
      </c>
    </row>
    <row r="558" spans="1:11" x14ac:dyDescent="0.35">
      <c r="A558" t="s">
        <v>1428</v>
      </c>
      <c r="B558">
        <v>2007</v>
      </c>
      <c r="C558">
        <v>122</v>
      </c>
      <c r="D558" t="s">
        <v>11</v>
      </c>
      <c r="E558">
        <v>7.8</v>
      </c>
      <c r="F558" t="s">
        <v>1180</v>
      </c>
      <c r="G558" t="s">
        <v>1429</v>
      </c>
      <c r="H558">
        <v>30827</v>
      </c>
      <c r="I558">
        <v>741283</v>
      </c>
      <c r="J558">
        <v>85</v>
      </c>
      <c r="K558" t="str" cm="1">
        <f t="array" ref="K558">_xlfn.IFS(Table1[[#This Row],[IMDB_Rating]]&gt;=9,"Masterpiece",Table1[[#This Row],[IMDB_Rating]]&gt;=8,"Excellent",Table1[[#This Row],[IMDB_Rating]]&gt;=7,"Good",Table1[[#This Row],[IMDB_Rating]]&lt;7,"Average")</f>
        <v>Good</v>
      </c>
    </row>
    <row r="559" spans="1:11" x14ac:dyDescent="0.35">
      <c r="A559" t="s">
        <v>393</v>
      </c>
      <c r="B559">
        <v>2005</v>
      </c>
      <c r="C559">
        <v>122</v>
      </c>
      <c r="D559" t="s">
        <v>11</v>
      </c>
      <c r="E559">
        <v>8.1999999999999993</v>
      </c>
      <c r="F559" t="s">
        <v>394</v>
      </c>
      <c r="G559" t="s">
        <v>395</v>
      </c>
      <c r="H559">
        <v>33354</v>
      </c>
      <c r="I559">
        <v>733094</v>
      </c>
      <c r="K559" t="str" cm="1">
        <f t="array" ref="K559">_xlfn.IFS(Table1[[#This Row],[IMDB_Rating]]&gt;=9,"Masterpiece",Table1[[#This Row],[IMDB_Rating]]&gt;=8,"Excellent",Table1[[#This Row],[IMDB_Rating]]&gt;=7,"Good",Table1[[#This Row],[IMDB_Rating]]&lt;7,"Average")</f>
        <v>Excellent</v>
      </c>
    </row>
    <row r="560" spans="1:11" x14ac:dyDescent="0.35">
      <c r="A560" t="s">
        <v>1251</v>
      </c>
      <c r="B560">
        <v>1973</v>
      </c>
      <c r="C560">
        <v>123</v>
      </c>
      <c r="D560" t="s">
        <v>67</v>
      </c>
      <c r="E560">
        <v>7.9</v>
      </c>
      <c r="F560" t="s">
        <v>730</v>
      </c>
      <c r="G560" t="s">
        <v>1252</v>
      </c>
      <c r="H560">
        <v>39897</v>
      </c>
      <c r="I560">
        <v>882861253</v>
      </c>
      <c r="K560" t="str" cm="1">
        <f t="array" ref="K560">_xlfn.IFS(Table1[[#This Row],[IMDB_Rating]]&gt;=9,"Masterpiece",Table1[[#This Row],[IMDB_Rating]]&gt;=8,"Excellent",Table1[[#This Row],[IMDB_Rating]]&gt;=7,"Good",Table1[[#This Row],[IMDB_Rating]]&lt;7,"Average")</f>
        <v>Good</v>
      </c>
    </row>
    <row r="561" spans="1:11" x14ac:dyDescent="0.35">
      <c r="A561" t="s">
        <v>716</v>
      </c>
      <c r="B561">
        <v>1962</v>
      </c>
      <c r="C561">
        <v>123</v>
      </c>
      <c r="D561" t="s">
        <v>11</v>
      </c>
      <c r="E561">
        <v>8.1</v>
      </c>
      <c r="F561" t="s">
        <v>717</v>
      </c>
      <c r="G561" t="s">
        <v>102</v>
      </c>
      <c r="H561">
        <v>68827</v>
      </c>
      <c r="I561">
        <v>541426567</v>
      </c>
      <c r="J561">
        <v>94</v>
      </c>
      <c r="K561" t="str" cm="1">
        <f t="array" ref="K561">_xlfn.IFS(Table1[[#This Row],[IMDB_Rating]]&gt;=9,"Masterpiece",Table1[[#This Row],[IMDB_Rating]]&gt;=8,"Excellent",Table1[[#This Row],[IMDB_Rating]]&gt;=7,"Good",Table1[[#This Row],[IMDB_Rating]]&lt;7,"Average")</f>
        <v>Excellent</v>
      </c>
    </row>
    <row r="562" spans="1:11" x14ac:dyDescent="0.35">
      <c r="A562" t="s">
        <v>1464</v>
      </c>
      <c r="B562">
        <v>2004</v>
      </c>
      <c r="C562">
        <v>123</v>
      </c>
      <c r="D562" t="s">
        <v>11</v>
      </c>
      <c r="E562">
        <v>7.8</v>
      </c>
      <c r="F562" t="s">
        <v>1465</v>
      </c>
      <c r="G562" t="s">
        <v>1466</v>
      </c>
      <c r="H562">
        <v>520284</v>
      </c>
      <c r="I562">
        <v>81001787</v>
      </c>
      <c r="J562">
        <v>53</v>
      </c>
      <c r="K562" t="str" cm="1">
        <f t="array" ref="K562">_xlfn.IFS(Table1[[#This Row],[IMDB_Rating]]&gt;=9,"Masterpiece",Table1[[#This Row],[IMDB_Rating]]&gt;=8,"Excellent",Table1[[#This Row],[IMDB_Rating]]&gt;=7,"Good",Table1[[#This Row],[IMDB_Rating]]&lt;7,"Average")</f>
        <v>Good</v>
      </c>
    </row>
    <row r="563" spans="1:11" x14ac:dyDescent="0.35">
      <c r="A563" t="s">
        <v>2040</v>
      </c>
      <c r="B563">
        <v>2008</v>
      </c>
      <c r="C563">
        <v>123</v>
      </c>
      <c r="D563" t="s">
        <v>11</v>
      </c>
      <c r="E563">
        <v>7.6</v>
      </c>
      <c r="F563" t="s">
        <v>860</v>
      </c>
      <c r="G563" t="s">
        <v>861</v>
      </c>
      <c r="H563">
        <v>286770</v>
      </c>
      <c r="I563">
        <v>69951824</v>
      </c>
      <c r="J563">
        <v>36</v>
      </c>
      <c r="K563" t="str" cm="1">
        <f t="array" ref="K563">_xlfn.IFS(Table1[[#This Row],[IMDB_Rating]]&gt;=9,"Masterpiece",Table1[[#This Row],[IMDB_Rating]]&gt;=8,"Excellent",Table1[[#This Row],[IMDB_Rating]]&gt;=7,"Good",Table1[[#This Row],[IMDB_Rating]]&lt;7,"Average")</f>
        <v>Good</v>
      </c>
    </row>
    <row r="564" spans="1:11" x14ac:dyDescent="0.35">
      <c r="A564" t="s">
        <v>1430</v>
      </c>
      <c r="B564">
        <v>2007</v>
      </c>
      <c r="C564">
        <v>123</v>
      </c>
      <c r="D564" t="s">
        <v>11</v>
      </c>
      <c r="E564">
        <v>7.8</v>
      </c>
      <c r="F564" t="s">
        <v>1431</v>
      </c>
      <c r="G564" t="s">
        <v>1432</v>
      </c>
      <c r="H564">
        <v>251370</v>
      </c>
      <c r="I564">
        <v>50927067</v>
      </c>
      <c r="J564">
        <v>85</v>
      </c>
      <c r="K564" t="str" cm="1">
        <f t="array" ref="K564">_xlfn.IFS(Table1[[#This Row],[IMDB_Rating]]&gt;=9,"Masterpiece",Table1[[#This Row],[IMDB_Rating]]&gt;=8,"Excellent",Table1[[#This Row],[IMDB_Rating]]&gt;=7,"Good",Table1[[#This Row],[IMDB_Rating]]&lt;7,"Average")</f>
        <v>Good</v>
      </c>
    </row>
    <row r="565" spans="1:11" x14ac:dyDescent="0.35">
      <c r="A565" t="s">
        <v>1242</v>
      </c>
      <c r="B565">
        <v>1979</v>
      </c>
      <c r="C565">
        <v>123</v>
      </c>
      <c r="D565" t="s">
        <v>11</v>
      </c>
      <c r="E565">
        <v>7.9</v>
      </c>
      <c r="F565" t="s">
        <v>1243</v>
      </c>
      <c r="G565" t="s">
        <v>991</v>
      </c>
      <c r="H565">
        <v>28223</v>
      </c>
      <c r="I565">
        <v>37823676</v>
      </c>
      <c r="J565">
        <v>72</v>
      </c>
      <c r="K565" t="str" cm="1">
        <f t="array" ref="K565">_xlfn.IFS(Table1[[#This Row],[IMDB_Rating]]&gt;=9,"Masterpiece",Table1[[#This Row],[IMDB_Rating]]&gt;=8,"Excellent",Table1[[#This Row],[IMDB_Rating]]&gt;=7,"Good",Table1[[#This Row],[IMDB_Rating]]&lt;7,"Average")</f>
        <v>Good</v>
      </c>
    </row>
    <row r="566" spans="1:11" x14ac:dyDescent="0.35">
      <c r="A566" t="s">
        <v>1656</v>
      </c>
      <c r="B566">
        <v>2014</v>
      </c>
      <c r="C566">
        <v>123</v>
      </c>
      <c r="D566" t="s">
        <v>34</v>
      </c>
      <c r="E566">
        <v>7.7</v>
      </c>
      <c r="F566" t="s">
        <v>1657</v>
      </c>
      <c r="G566" t="s">
        <v>1415</v>
      </c>
      <c r="H566">
        <v>404182</v>
      </c>
      <c r="I566">
        <v>35893537</v>
      </c>
      <c r="J566">
        <v>72</v>
      </c>
      <c r="K566" t="str" cm="1">
        <f t="array" ref="K566">_xlfn.IFS(Table1[[#This Row],[IMDB_Rating]]&gt;=9,"Masterpiece",Table1[[#This Row],[IMDB_Rating]]&gt;=8,"Excellent",Table1[[#This Row],[IMDB_Rating]]&gt;=7,"Good",Table1[[#This Row],[IMDB_Rating]]&lt;7,"Average")</f>
        <v>Good</v>
      </c>
    </row>
    <row r="567" spans="1:11" x14ac:dyDescent="0.35">
      <c r="A567" t="s">
        <v>539</v>
      </c>
      <c r="B567">
        <v>2013</v>
      </c>
      <c r="C567">
        <v>123</v>
      </c>
      <c r="D567" t="s">
        <v>19</v>
      </c>
      <c r="E567">
        <v>8.1</v>
      </c>
      <c r="F567" t="s">
        <v>405</v>
      </c>
      <c r="G567" t="s">
        <v>540</v>
      </c>
      <c r="H567">
        <v>432811</v>
      </c>
      <c r="I567">
        <v>26947624</v>
      </c>
      <c r="J567">
        <v>74</v>
      </c>
      <c r="K567" t="str" cm="1">
        <f t="array" ref="K567">_xlfn.IFS(Table1[[#This Row],[IMDB_Rating]]&gt;=9,"Masterpiece",Table1[[#This Row],[IMDB_Rating]]&gt;=8,"Excellent",Table1[[#This Row],[IMDB_Rating]]&gt;=7,"Good",Table1[[#This Row],[IMDB_Rating]]&lt;7,"Average")</f>
        <v>Excellent</v>
      </c>
    </row>
    <row r="568" spans="1:11" x14ac:dyDescent="0.35">
      <c r="A568" t="s">
        <v>1736</v>
      </c>
      <c r="B568">
        <v>2006</v>
      </c>
      <c r="C568">
        <v>123</v>
      </c>
      <c r="D568" t="s">
        <v>34</v>
      </c>
      <c r="E568">
        <v>7.7</v>
      </c>
      <c r="F568" t="s">
        <v>1737</v>
      </c>
      <c r="G568" t="s">
        <v>1702</v>
      </c>
      <c r="H568">
        <v>175355</v>
      </c>
      <c r="I568">
        <v>17605861</v>
      </c>
      <c r="J568">
        <v>74</v>
      </c>
      <c r="K568" t="str" cm="1">
        <f t="array" ref="K568">_xlfn.IFS(Table1[[#This Row],[IMDB_Rating]]&gt;=9,"Masterpiece",Table1[[#This Row],[IMDB_Rating]]&gt;=8,"Excellent",Table1[[#This Row],[IMDB_Rating]]&gt;=7,"Good",Table1[[#This Row],[IMDB_Rating]]&lt;7,"Average")</f>
        <v>Good</v>
      </c>
    </row>
    <row r="569" spans="1:11" x14ac:dyDescent="0.35">
      <c r="A569" t="s">
        <v>1370</v>
      </c>
      <c r="B569">
        <v>2013</v>
      </c>
      <c r="C569">
        <v>123</v>
      </c>
      <c r="D569" t="s">
        <v>67</v>
      </c>
      <c r="E569">
        <v>7.8</v>
      </c>
      <c r="F569" t="s">
        <v>1371</v>
      </c>
      <c r="G569" t="s">
        <v>1372</v>
      </c>
      <c r="H569">
        <v>303032</v>
      </c>
      <c r="I569">
        <v>15322921</v>
      </c>
      <c r="J569">
        <v>55</v>
      </c>
      <c r="K569" t="str" cm="1">
        <f t="array" ref="K569">_xlfn.IFS(Table1[[#This Row],[IMDB_Rating]]&gt;=9,"Masterpiece",Table1[[#This Row],[IMDB_Rating]]&gt;=8,"Excellent",Table1[[#This Row],[IMDB_Rating]]&gt;=7,"Good",Table1[[#This Row],[IMDB_Rating]]&lt;7,"Average")</f>
        <v>Good</v>
      </c>
    </row>
    <row r="570" spans="1:11" x14ac:dyDescent="0.35">
      <c r="A570" t="s">
        <v>238</v>
      </c>
      <c r="B570">
        <v>2011</v>
      </c>
      <c r="C570">
        <v>123</v>
      </c>
      <c r="D570" t="s">
        <v>11</v>
      </c>
      <c r="E570">
        <v>8.3000000000000007</v>
      </c>
      <c r="F570" t="s">
        <v>239</v>
      </c>
      <c r="G570" t="s">
        <v>240</v>
      </c>
      <c r="H570">
        <v>220002</v>
      </c>
      <c r="I570">
        <v>7098492</v>
      </c>
      <c r="J570">
        <v>95</v>
      </c>
      <c r="K570" t="str" cm="1">
        <f t="array" ref="K570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1" spans="1:11" x14ac:dyDescent="0.35">
      <c r="A571" t="s">
        <v>675</v>
      </c>
      <c r="B571">
        <v>1980</v>
      </c>
      <c r="C571">
        <v>124</v>
      </c>
      <c r="D571" t="s">
        <v>34</v>
      </c>
      <c r="E571">
        <v>8.1</v>
      </c>
      <c r="F571" t="s">
        <v>676</v>
      </c>
      <c r="G571" t="s">
        <v>677</v>
      </c>
      <c r="H571">
        <v>220078</v>
      </c>
      <c r="I571">
        <v>753585104</v>
      </c>
      <c r="J571">
        <v>78</v>
      </c>
      <c r="K571" t="str" cm="1">
        <f t="array" ref="K5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2" spans="1:11" x14ac:dyDescent="0.35">
      <c r="A572" t="s">
        <v>57</v>
      </c>
      <c r="B572">
        <v>1980</v>
      </c>
      <c r="C572">
        <v>124</v>
      </c>
      <c r="D572" t="s">
        <v>19</v>
      </c>
      <c r="E572">
        <v>8.6999999999999993</v>
      </c>
      <c r="F572" t="s">
        <v>58</v>
      </c>
      <c r="G572" t="s">
        <v>59</v>
      </c>
      <c r="H572">
        <v>1159315</v>
      </c>
      <c r="I572">
        <v>290475067</v>
      </c>
      <c r="J572">
        <v>82</v>
      </c>
      <c r="K572" t="str" cm="1">
        <f t="array" ref="K57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3" spans="1:11" x14ac:dyDescent="0.35">
      <c r="A573" t="s">
        <v>990</v>
      </c>
      <c r="B573">
        <v>1975</v>
      </c>
      <c r="C573">
        <v>124</v>
      </c>
      <c r="D573" t="s">
        <v>74</v>
      </c>
      <c r="E573">
        <v>8</v>
      </c>
      <c r="F573" t="s">
        <v>35</v>
      </c>
      <c r="G573" t="s">
        <v>991</v>
      </c>
      <c r="H573">
        <v>543388</v>
      </c>
      <c r="I573">
        <v>260000000</v>
      </c>
      <c r="J573">
        <v>87</v>
      </c>
      <c r="K573" t="str" cm="1">
        <f t="array" ref="K5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4" spans="1:11" x14ac:dyDescent="0.35">
      <c r="A574" t="s">
        <v>869</v>
      </c>
      <c r="B574">
        <v>2005</v>
      </c>
      <c r="C574">
        <v>124</v>
      </c>
      <c r="D574" t="s">
        <v>15</v>
      </c>
      <c r="E574">
        <v>8</v>
      </c>
      <c r="F574" t="s">
        <v>870</v>
      </c>
      <c r="G574" t="s">
        <v>31</v>
      </c>
      <c r="H574">
        <v>738512</v>
      </c>
      <c r="I574">
        <v>74103820</v>
      </c>
      <c r="J574">
        <v>74</v>
      </c>
      <c r="K574" t="str" cm="1">
        <f t="array" ref="K57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5" spans="1:11" x14ac:dyDescent="0.35">
      <c r="A575" t="s">
        <v>1882</v>
      </c>
      <c r="B575">
        <v>1980</v>
      </c>
      <c r="C575">
        <v>124</v>
      </c>
      <c r="D575" t="s">
        <v>11</v>
      </c>
      <c r="E575">
        <v>7.7</v>
      </c>
      <c r="F575" t="s">
        <v>1883</v>
      </c>
      <c r="G575" t="s">
        <v>1884</v>
      </c>
      <c r="H575">
        <v>47099</v>
      </c>
      <c r="I575">
        <v>54800000</v>
      </c>
      <c r="J575">
        <v>86</v>
      </c>
      <c r="K575" t="str" cm="1">
        <f t="array" ref="K575">_xlfn.IFS(Table1[[#This Row],[IMDB_Rating]]&gt;=9,"Masterpiece",Table1[[#This Row],[IMDB_Rating]]&gt;=8,"Excellent",Table1[[#This Row],[IMDB_Rating]]&gt;=7,"Good",Table1[[#This Row],[IMDB_Rating]]&lt;7,"Average")</f>
        <v>Good</v>
      </c>
    </row>
    <row r="576" spans="1:11" x14ac:dyDescent="0.35">
      <c r="A576" t="s">
        <v>2097</v>
      </c>
      <c r="B576">
        <v>2001</v>
      </c>
      <c r="C576">
        <v>124</v>
      </c>
      <c r="D576" t="s">
        <v>34</v>
      </c>
      <c r="E576">
        <v>7.6</v>
      </c>
      <c r="F576" t="s">
        <v>2098</v>
      </c>
      <c r="G576" t="s">
        <v>900</v>
      </c>
      <c r="H576">
        <v>240714</v>
      </c>
      <c r="I576">
        <v>52990775</v>
      </c>
      <c r="J576">
        <v>52</v>
      </c>
      <c r="K576" t="str" cm="1">
        <f t="array" ref="K576">_xlfn.IFS(Table1[[#This Row],[IMDB_Rating]]&gt;=9,"Masterpiece",Table1[[#This Row],[IMDB_Rating]]&gt;=8,"Excellent",Table1[[#This Row],[IMDB_Rating]]&gt;=7,"Good",Table1[[#This Row],[IMDB_Rating]]&lt;7,"Average")</f>
        <v>Good</v>
      </c>
    </row>
    <row r="577" spans="1:11" x14ac:dyDescent="0.35">
      <c r="A577" t="s">
        <v>1585</v>
      </c>
      <c r="B577">
        <v>1972</v>
      </c>
      <c r="C577">
        <v>124</v>
      </c>
      <c r="D577" t="s">
        <v>11</v>
      </c>
      <c r="E577">
        <v>7.8</v>
      </c>
      <c r="F577" t="s">
        <v>1243</v>
      </c>
      <c r="G577" t="s">
        <v>1586</v>
      </c>
      <c r="H577">
        <v>48334</v>
      </c>
      <c r="I577">
        <v>42765000</v>
      </c>
      <c r="J577">
        <v>80</v>
      </c>
      <c r="K577" t="str" cm="1">
        <f t="array" ref="K577">_xlfn.IFS(Table1[[#This Row],[IMDB_Rating]]&gt;=9,"Masterpiece",Table1[[#This Row],[IMDB_Rating]]&gt;=8,"Excellent",Table1[[#This Row],[IMDB_Rating]]&gt;=7,"Good",Table1[[#This Row],[IMDB_Rating]]&lt;7,"Average")</f>
        <v>Good</v>
      </c>
    </row>
    <row r="578" spans="1:11" x14ac:dyDescent="0.35">
      <c r="A578" t="s">
        <v>775</v>
      </c>
      <c r="B578">
        <v>2018</v>
      </c>
      <c r="C578">
        <v>124</v>
      </c>
      <c r="D578" t="s">
        <v>67</v>
      </c>
      <c r="E578">
        <v>8</v>
      </c>
      <c r="F578" t="s">
        <v>776</v>
      </c>
      <c r="G578" t="s">
        <v>231</v>
      </c>
      <c r="H578">
        <v>27978</v>
      </c>
      <c r="I578">
        <v>28738362</v>
      </c>
      <c r="K578" t="str" cm="1">
        <f t="array" ref="K578">_xlfn.IFS(Table1[[#This Row],[IMDB_Rating]]&gt;=9,"Masterpiece",Table1[[#This Row],[IMDB_Rating]]&gt;=8,"Excellent",Table1[[#This Row],[IMDB_Rating]]&gt;=7,"Good",Table1[[#This Row],[IMDB_Rating]]&lt;7,"Average")</f>
        <v>Excellent</v>
      </c>
    </row>
    <row r="579" spans="1:11" x14ac:dyDescent="0.35">
      <c r="A579" t="s">
        <v>2060</v>
      </c>
      <c r="B579">
        <v>2005</v>
      </c>
      <c r="C579">
        <v>124</v>
      </c>
      <c r="D579" t="s">
        <v>11</v>
      </c>
      <c r="E579">
        <v>7.6</v>
      </c>
      <c r="F579" t="s">
        <v>989</v>
      </c>
      <c r="G579" t="s">
        <v>2061</v>
      </c>
      <c r="H579">
        <v>206294</v>
      </c>
      <c r="I579">
        <v>23089926</v>
      </c>
      <c r="J579">
        <v>72</v>
      </c>
      <c r="K579" t="str" cm="1">
        <f t="array" ref="K579">_xlfn.IFS(Table1[[#This Row],[IMDB_Rating]]&gt;=9,"Masterpiece",Table1[[#This Row],[IMDB_Rating]]&gt;=8,"Excellent",Table1[[#This Row],[IMDB_Rating]]&gt;=7,"Good",Table1[[#This Row],[IMDB_Rating]]&lt;7,"Average")</f>
        <v>Good</v>
      </c>
    </row>
    <row r="580" spans="1:11" x14ac:dyDescent="0.35">
      <c r="A580" t="s">
        <v>2079</v>
      </c>
      <c r="B580">
        <v>2003</v>
      </c>
      <c r="C580">
        <v>124</v>
      </c>
      <c r="D580" t="s">
        <v>15</v>
      </c>
      <c r="E580">
        <v>7.6</v>
      </c>
      <c r="F580" t="s">
        <v>604</v>
      </c>
      <c r="G580" t="s">
        <v>578</v>
      </c>
      <c r="H580">
        <v>224545</v>
      </c>
      <c r="I580">
        <v>16290476</v>
      </c>
      <c r="J580">
        <v>70</v>
      </c>
      <c r="K580" t="str" cm="1">
        <f t="array" ref="K580">_xlfn.IFS(Table1[[#This Row],[IMDB_Rating]]&gt;=9,"Masterpiece",Table1[[#This Row],[IMDB_Rating]]&gt;=8,"Excellent",Table1[[#This Row],[IMDB_Rating]]&gt;=7,"Good",Table1[[#This Row],[IMDB_Rating]]&lt;7,"Average")</f>
        <v>Good</v>
      </c>
    </row>
    <row r="581" spans="1:11" x14ac:dyDescent="0.35">
      <c r="A581" t="s">
        <v>2067</v>
      </c>
      <c r="B581">
        <v>2008</v>
      </c>
      <c r="C581">
        <v>124</v>
      </c>
      <c r="D581" t="s">
        <v>11</v>
      </c>
      <c r="E581">
        <v>7.6</v>
      </c>
      <c r="F581" t="s">
        <v>2068</v>
      </c>
      <c r="G581" t="s">
        <v>2069</v>
      </c>
      <c r="H581">
        <v>83158</v>
      </c>
      <c r="I581">
        <v>3081925</v>
      </c>
      <c r="J581">
        <v>67</v>
      </c>
      <c r="K581" t="str" cm="1">
        <f t="array" ref="K581">_xlfn.IFS(Table1[[#This Row],[IMDB_Rating]]&gt;=9,"Masterpiece",Table1[[#This Row],[IMDB_Rating]]&gt;=8,"Excellent",Table1[[#This Row],[IMDB_Rating]]&gt;=7,"Good",Table1[[#This Row],[IMDB_Rating]]&lt;7,"Average")</f>
        <v>Good</v>
      </c>
    </row>
    <row r="582" spans="1:11" x14ac:dyDescent="0.35">
      <c r="A582" t="s">
        <v>1318</v>
      </c>
      <c r="B582">
        <v>2016</v>
      </c>
      <c r="C582">
        <v>124</v>
      </c>
      <c r="D582" t="s">
        <v>11</v>
      </c>
      <c r="E582">
        <v>7.8</v>
      </c>
      <c r="F582" t="s">
        <v>239</v>
      </c>
      <c r="G582" t="s">
        <v>1319</v>
      </c>
      <c r="H582">
        <v>51240</v>
      </c>
      <c r="I582">
        <v>2402067</v>
      </c>
      <c r="J582">
        <v>85</v>
      </c>
      <c r="K582" t="str" cm="1">
        <f t="array" ref="K582">_xlfn.IFS(Table1[[#This Row],[IMDB_Rating]]&gt;=9,"Masterpiece",Table1[[#This Row],[IMDB_Rating]]&gt;=8,"Excellent",Table1[[#This Row],[IMDB_Rating]]&gt;=7,"Good",Table1[[#This Row],[IMDB_Rating]]&lt;7,"Average")</f>
        <v>Good</v>
      </c>
    </row>
    <row r="583" spans="1:11" x14ac:dyDescent="0.35">
      <c r="A583" t="s">
        <v>970</v>
      </c>
      <c r="B583">
        <v>1988</v>
      </c>
      <c r="C583">
        <v>124</v>
      </c>
      <c r="D583" t="s">
        <v>80</v>
      </c>
      <c r="E583">
        <v>8</v>
      </c>
      <c r="F583" t="s">
        <v>971</v>
      </c>
      <c r="G583" t="s">
        <v>972</v>
      </c>
      <c r="H583">
        <v>164918</v>
      </c>
      <c r="I583">
        <v>553171</v>
      </c>
      <c r="K583" t="str" cm="1">
        <f t="array" ref="K583">_xlfn.IFS(Table1[[#This Row],[IMDB_Rating]]&gt;=9,"Masterpiece",Table1[[#This Row],[IMDB_Rating]]&gt;=8,"Excellent",Table1[[#This Row],[IMDB_Rating]]&gt;=7,"Good",Table1[[#This Row],[IMDB_Rating]]&lt;7,"Average")</f>
        <v>Excellent</v>
      </c>
    </row>
    <row r="584" spans="1:11" x14ac:dyDescent="0.35">
      <c r="A584" t="s">
        <v>979</v>
      </c>
      <c r="B584">
        <v>1986</v>
      </c>
      <c r="C584">
        <v>125</v>
      </c>
      <c r="D584" t="s">
        <v>80</v>
      </c>
      <c r="E584">
        <v>8</v>
      </c>
      <c r="F584" t="s">
        <v>81</v>
      </c>
      <c r="G584" t="s">
        <v>980</v>
      </c>
      <c r="H584">
        <v>150140</v>
      </c>
      <c r="I584">
        <v>715920290</v>
      </c>
      <c r="J584">
        <v>78</v>
      </c>
      <c r="K584" t="str" cm="1">
        <f t="array" ref="K5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85" spans="1:11" x14ac:dyDescent="0.35">
      <c r="A585" t="s">
        <v>157</v>
      </c>
      <c r="B585">
        <v>2017</v>
      </c>
      <c r="C585">
        <v>125</v>
      </c>
      <c r="D585" t="s">
        <v>34</v>
      </c>
      <c r="E585">
        <v>8.4</v>
      </c>
      <c r="F585" t="s">
        <v>158</v>
      </c>
      <c r="G585" t="s">
        <v>159</v>
      </c>
      <c r="H585">
        <v>34112</v>
      </c>
      <c r="I585">
        <v>679278040</v>
      </c>
      <c r="K585" t="str" cm="1">
        <f t="array" ref="K585">_xlfn.IFS(Table1[[#This Row],[IMDB_Rating]]&gt;=9,"Masterpiece",Table1[[#This Row],[IMDB_Rating]]&gt;=8,"Excellent",Table1[[#This Row],[IMDB_Rating]]&gt;=7,"Good",Table1[[#This Row],[IMDB_Rating]]&lt;7,"Average")</f>
        <v>Excellent</v>
      </c>
    </row>
    <row r="586" spans="1:11" x14ac:dyDescent="0.35">
      <c r="A586" t="s">
        <v>1403</v>
      </c>
      <c r="B586">
        <v>2008</v>
      </c>
      <c r="C586">
        <v>125</v>
      </c>
      <c r="D586" t="s">
        <v>19</v>
      </c>
      <c r="E586">
        <v>7.8</v>
      </c>
      <c r="F586" t="s">
        <v>1404</v>
      </c>
      <c r="G586" t="s">
        <v>1405</v>
      </c>
      <c r="H586">
        <v>58468</v>
      </c>
      <c r="I586">
        <v>369366051</v>
      </c>
      <c r="J586">
        <v>64</v>
      </c>
      <c r="K586" t="str" cm="1">
        <f t="array" ref="K586">_xlfn.IFS(Table1[[#This Row],[IMDB_Rating]]&gt;=9,"Masterpiece",Table1[[#This Row],[IMDB_Rating]]&gt;=8,"Excellent",Table1[[#This Row],[IMDB_Rating]]&gt;=7,"Good",Table1[[#This Row],[IMDB_Rating]]&lt;7,"Average")</f>
        <v>Good</v>
      </c>
    </row>
    <row r="587" spans="1:11" x14ac:dyDescent="0.35">
      <c r="A587" t="s">
        <v>1841</v>
      </c>
      <c r="B587">
        <v>1993</v>
      </c>
      <c r="C587">
        <v>125</v>
      </c>
      <c r="D587" t="s">
        <v>11</v>
      </c>
      <c r="E587">
        <v>7.7</v>
      </c>
      <c r="F587" t="s">
        <v>90</v>
      </c>
      <c r="G587" t="s">
        <v>45</v>
      </c>
      <c r="H587">
        <v>224169</v>
      </c>
      <c r="I587">
        <v>77324422</v>
      </c>
      <c r="J587">
        <v>66</v>
      </c>
      <c r="K587" t="str" cm="1">
        <f t="array" ref="K587">_xlfn.IFS(Table1[[#This Row],[IMDB_Rating]]&gt;=9,"Masterpiece",Table1[[#This Row],[IMDB_Rating]]&gt;=8,"Excellent",Table1[[#This Row],[IMDB_Rating]]&gt;=7,"Good",Table1[[#This Row],[IMDB_Rating]]&lt;7,"Average")</f>
        <v>Good</v>
      </c>
    </row>
    <row r="588" spans="1:11" x14ac:dyDescent="0.35">
      <c r="A588" t="s">
        <v>1950</v>
      </c>
      <c r="B588">
        <v>1940</v>
      </c>
      <c r="C588">
        <v>125</v>
      </c>
      <c r="D588" t="s">
        <v>80</v>
      </c>
      <c r="E588">
        <v>7.7</v>
      </c>
      <c r="F588" t="s">
        <v>1951</v>
      </c>
      <c r="G588" t="s">
        <v>1952</v>
      </c>
      <c r="H588">
        <v>88662</v>
      </c>
      <c r="I588">
        <v>76408097</v>
      </c>
      <c r="J588">
        <v>96</v>
      </c>
      <c r="K588" t="str" cm="1">
        <f t="array" ref="K588">_xlfn.IFS(Table1[[#This Row],[IMDB_Rating]]&gt;=9,"Masterpiece",Table1[[#This Row],[IMDB_Rating]]&gt;=8,"Excellent",Table1[[#This Row],[IMDB_Rating]]&gt;=7,"Good",Table1[[#This Row],[IMDB_Rating]]&lt;7,"Average")</f>
        <v>Good</v>
      </c>
    </row>
    <row r="589" spans="1:11" x14ac:dyDescent="0.35">
      <c r="A589" t="s">
        <v>901</v>
      </c>
      <c r="B589">
        <v>2003</v>
      </c>
      <c r="C589">
        <v>125</v>
      </c>
      <c r="D589" t="s">
        <v>74</v>
      </c>
      <c r="E589">
        <v>8</v>
      </c>
      <c r="F589" t="s">
        <v>902</v>
      </c>
      <c r="G589" t="s">
        <v>626</v>
      </c>
      <c r="H589">
        <v>415218</v>
      </c>
      <c r="I589">
        <v>66257002</v>
      </c>
      <c r="J589">
        <v>58</v>
      </c>
      <c r="K589" t="str" cm="1">
        <f t="array" ref="K589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0" spans="1:11" x14ac:dyDescent="0.35">
      <c r="A590" t="s">
        <v>992</v>
      </c>
      <c r="B590">
        <v>1975</v>
      </c>
      <c r="C590">
        <v>125</v>
      </c>
      <c r="D590" t="s">
        <v>34</v>
      </c>
      <c r="E590">
        <v>8</v>
      </c>
      <c r="F590" t="s">
        <v>25</v>
      </c>
      <c r="G590" t="s">
        <v>23</v>
      </c>
      <c r="H590">
        <v>235652</v>
      </c>
      <c r="I590">
        <v>50000000</v>
      </c>
      <c r="J590">
        <v>86</v>
      </c>
      <c r="K590" t="str" cm="1">
        <f t="array" ref="K5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1" spans="1:11" x14ac:dyDescent="0.35">
      <c r="A591" t="s">
        <v>303</v>
      </c>
      <c r="B591">
        <v>1960</v>
      </c>
      <c r="C591">
        <v>125</v>
      </c>
      <c r="D591" t="s">
        <v>67</v>
      </c>
      <c r="E591">
        <v>8.3000000000000007</v>
      </c>
      <c r="F591" t="s">
        <v>216</v>
      </c>
      <c r="G591" t="s">
        <v>304</v>
      </c>
      <c r="H591">
        <v>164363</v>
      </c>
      <c r="I591">
        <v>18600000</v>
      </c>
      <c r="J591">
        <v>94</v>
      </c>
      <c r="K591" t="str" cm="1">
        <f t="array" ref="K591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2" spans="1:11" x14ac:dyDescent="0.35">
      <c r="A592" t="s">
        <v>79</v>
      </c>
      <c r="B592">
        <v>2001</v>
      </c>
      <c r="C592">
        <v>125</v>
      </c>
      <c r="D592" t="s">
        <v>80</v>
      </c>
      <c r="E592">
        <v>8.6</v>
      </c>
      <c r="F592" t="s">
        <v>81</v>
      </c>
      <c r="G592" t="s">
        <v>82</v>
      </c>
      <c r="H592">
        <v>651376</v>
      </c>
      <c r="I592">
        <v>10055859</v>
      </c>
      <c r="J592">
        <v>96</v>
      </c>
      <c r="K592" t="str" cm="1">
        <f t="array" ref="K592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3" spans="1:11" x14ac:dyDescent="0.35">
      <c r="A593" t="s">
        <v>648</v>
      </c>
      <c r="B593">
        <v>1991</v>
      </c>
      <c r="C593">
        <v>125</v>
      </c>
      <c r="D593" t="s">
        <v>11</v>
      </c>
      <c r="E593">
        <v>8.1</v>
      </c>
      <c r="F593" t="s">
        <v>649</v>
      </c>
      <c r="G593" t="s">
        <v>650</v>
      </c>
      <c r="H593">
        <v>29662</v>
      </c>
      <c r="I593">
        <v>2603061</v>
      </c>
      <c r="K593" t="str" cm="1">
        <f t="array" ref="K593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4" spans="1:11" x14ac:dyDescent="0.35">
      <c r="A594" t="s">
        <v>519</v>
      </c>
      <c r="B594">
        <v>2012</v>
      </c>
      <c r="C594">
        <v>125</v>
      </c>
      <c r="D594" t="s">
        <v>67</v>
      </c>
      <c r="E594">
        <v>8.1</v>
      </c>
      <c r="F594" t="s">
        <v>520</v>
      </c>
      <c r="G594" t="s">
        <v>521</v>
      </c>
      <c r="H594">
        <v>51739</v>
      </c>
      <c r="I594">
        <v>923221</v>
      </c>
      <c r="K594" t="str" cm="1">
        <f t="array" ref="K594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5" spans="1:11" x14ac:dyDescent="0.35">
      <c r="A595" t="s">
        <v>223</v>
      </c>
      <c r="B595">
        <v>1940</v>
      </c>
      <c r="C595">
        <v>125</v>
      </c>
      <c r="D595" t="s">
        <v>67</v>
      </c>
      <c r="E595">
        <v>8.4</v>
      </c>
      <c r="F595" t="s">
        <v>152</v>
      </c>
      <c r="G595" t="s">
        <v>152</v>
      </c>
      <c r="H595">
        <v>203150</v>
      </c>
      <c r="I595">
        <v>288475</v>
      </c>
      <c r="K595" t="str" cm="1">
        <f t="array" ref="K595">_xlfn.IFS(Table1[[#This Row],[IMDB_Rating]]&gt;=9,"Masterpiece",Table1[[#This Row],[IMDB_Rating]]&gt;=8,"Excellent",Table1[[#This Row],[IMDB_Rating]]&gt;=7,"Good",Table1[[#This Row],[IMDB_Rating]]&lt;7,"Average")</f>
        <v>Excellent</v>
      </c>
    </row>
    <row r="596" spans="1:11" x14ac:dyDescent="0.35">
      <c r="A596" t="s">
        <v>1955</v>
      </c>
      <c r="B596">
        <v>2019</v>
      </c>
      <c r="C596">
        <v>126</v>
      </c>
      <c r="D596" t="s">
        <v>34</v>
      </c>
      <c r="E596">
        <v>7.6</v>
      </c>
      <c r="F596" t="s">
        <v>1956</v>
      </c>
      <c r="G596" t="s">
        <v>545</v>
      </c>
      <c r="H596">
        <v>60408</v>
      </c>
      <c r="I596">
        <v>428167124</v>
      </c>
      <c r="J596">
        <v>73</v>
      </c>
      <c r="K596" t="str" cm="1">
        <f t="array" ref="K596">_xlfn.IFS(Table1[[#This Row],[IMDB_Rating]]&gt;=9,"Masterpiece",Table1[[#This Row],[IMDB_Rating]]&gt;=8,"Excellent",Table1[[#This Row],[IMDB_Rating]]&gt;=7,"Good",Table1[[#This Row],[IMDB_Rating]]&lt;7,"Average")</f>
        <v>Good</v>
      </c>
    </row>
    <row r="597" spans="1:11" x14ac:dyDescent="0.35">
      <c r="A597" t="s">
        <v>1174</v>
      </c>
      <c r="B597">
        <v>2008</v>
      </c>
      <c r="C597">
        <v>126</v>
      </c>
      <c r="D597" t="s">
        <v>19</v>
      </c>
      <c r="E597">
        <v>7.9</v>
      </c>
      <c r="F597" t="s">
        <v>1175</v>
      </c>
      <c r="G597" t="s">
        <v>853</v>
      </c>
      <c r="H597">
        <v>939644</v>
      </c>
      <c r="I597">
        <v>318412101</v>
      </c>
      <c r="J597">
        <v>79</v>
      </c>
      <c r="K597" t="str" cm="1">
        <f t="array" ref="K597">_xlfn.IFS(Table1[[#This Row],[IMDB_Rating]]&gt;=9,"Masterpiece",Table1[[#This Row],[IMDB_Rating]]&gt;=8,"Excellent",Table1[[#This Row],[IMDB_Rating]]&gt;=7,"Good",Table1[[#This Row],[IMDB_Rating]]&lt;7,"Average")</f>
        <v>Good</v>
      </c>
    </row>
    <row r="598" spans="1:11" x14ac:dyDescent="0.35">
      <c r="A598" t="s">
        <v>1269</v>
      </c>
      <c r="B598">
        <v>1962</v>
      </c>
      <c r="C598">
        <v>126</v>
      </c>
      <c r="D598" t="s">
        <v>11</v>
      </c>
      <c r="E598">
        <v>7.9</v>
      </c>
      <c r="F598" t="s">
        <v>1270</v>
      </c>
      <c r="G598" t="s">
        <v>1271</v>
      </c>
      <c r="H598">
        <v>71122</v>
      </c>
      <c r="I598">
        <v>238786038</v>
      </c>
      <c r="J598">
        <v>94</v>
      </c>
      <c r="K598" t="str" cm="1">
        <f t="array" ref="K598">_xlfn.IFS(Table1[[#This Row],[IMDB_Rating]]&gt;=9,"Masterpiece",Table1[[#This Row],[IMDB_Rating]]&gt;=8,"Excellent",Table1[[#This Row],[IMDB_Rating]]&gt;=7,"Good",Table1[[#This Row],[IMDB_Rating]]&lt;7,"Average")</f>
        <v>Good</v>
      </c>
    </row>
    <row r="599" spans="1:11" x14ac:dyDescent="0.35">
      <c r="A599" t="s">
        <v>1725</v>
      </c>
      <c r="B599">
        <v>2006</v>
      </c>
      <c r="C599">
        <v>126</v>
      </c>
      <c r="D599" t="s">
        <v>15</v>
      </c>
      <c r="E599">
        <v>7.7</v>
      </c>
      <c r="F599" t="s">
        <v>1726</v>
      </c>
      <c r="G599" t="s">
        <v>1727</v>
      </c>
      <c r="H599">
        <v>28630</v>
      </c>
      <c r="I599">
        <v>207139906</v>
      </c>
      <c r="K599" t="str" cm="1">
        <f t="array" ref="K599">_xlfn.IFS(Table1[[#This Row],[IMDB_Rating]]&gt;=9,"Masterpiece",Table1[[#This Row],[IMDB_Rating]]&gt;=8,"Excellent",Table1[[#This Row],[IMDB_Rating]]&gt;=7,"Good",Table1[[#This Row],[IMDB_Rating]]&lt;7,"Average")</f>
        <v>Good</v>
      </c>
    </row>
    <row r="600" spans="1:11" x14ac:dyDescent="0.35">
      <c r="A600" t="s">
        <v>264</v>
      </c>
      <c r="B600">
        <v>1997</v>
      </c>
      <c r="C600">
        <v>126</v>
      </c>
      <c r="D600" t="s">
        <v>11</v>
      </c>
      <c r="E600">
        <v>8.3000000000000007</v>
      </c>
      <c r="F600" t="s">
        <v>265</v>
      </c>
      <c r="G600" t="s">
        <v>266</v>
      </c>
      <c r="H600">
        <v>861606</v>
      </c>
      <c r="I600">
        <v>138433435</v>
      </c>
      <c r="J600">
        <v>70</v>
      </c>
      <c r="K600" t="str" cm="1">
        <f t="array" ref="K60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01" spans="1:11" x14ac:dyDescent="0.35">
      <c r="A601" t="s">
        <v>1660</v>
      </c>
      <c r="B601">
        <v>2014</v>
      </c>
      <c r="C601">
        <v>126</v>
      </c>
      <c r="D601" t="s">
        <v>11</v>
      </c>
      <c r="E601">
        <v>7.7</v>
      </c>
      <c r="F601" t="s">
        <v>1661</v>
      </c>
      <c r="G601" t="s">
        <v>1662</v>
      </c>
      <c r="H601">
        <v>344312</v>
      </c>
      <c r="I601">
        <v>124872350</v>
      </c>
      <c r="J601">
        <v>69</v>
      </c>
      <c r="K601" t="str" cm="1">
        <f t="array" ref="K601">_xlfn.IFS(Table1[[#This Row],[IMDB_Rating]]&gt;=9,"Masterpiece",Table1[[#This Row],[IMDB_Rating]]&gt;=8,"Excellent",Table1[[#This Row],[IMDB_Rating]]&gt;=7,"Good",Table1[[#This Row],[IMDB_Rating]]&lt;7,"Average")</f>
        <v>Good</v>
      </c>
    </row>
    <row r="602" spans="1:11" x14ac:dyDescent="0.35">
      <c r="A602" t="s">
        <v>1817</v>
      </c>
      <c r="B602">
        <v>1997</v>
      </c>
      <c r="C602">
        <v>126</v>
      </c>
      <c r="D602" t="s">
        <v>19</v>
      </c>
      <c r="E602">
        <v>7.7</v>
      </c>
      <c r="F602" t="s">
        <v>127</v>
      </c>
      <c r="G602" t="s">
        <v>430</v>
      </c>
      <c r="H602">
        <v>434125</v>
      </c>
      <c r="I602">
        <v>63540020</v>
      </c>
      <c r="J602">
        <v>52</v>
      </c>
      <c r="K602" t="str" cm="1">
        <f t="array" ref="K602">_xlfn.IFS(Table1[[#This Row],[IMDB_Rating]]&gt;=9,"Masterpiece",Table1[[#This Row],[IMDB_Rating]]&gt;=8,"Excellent",Table1[[#This Row],[IMDB_Rating]]&gt;=7,"Good",Table1[[#This Row],[IMDB_Rating]]&lt;7,"Average")</f>
        <v>Good</v>
      </c>
    </row>
    <row r="603" spans="1:11" x14ac:dyDescent="0.35">
      <c r="A603" t="s">
        <v>816</v>
      </c>
      <c r="B603">
        <v>2013</v>
      </c>
      <c r="C603">
        <v>126</v>
      </c>
      <c r="D603" t="s">
        <v>11</v>
      </c>
      <c r="E603">
        <v>8</v>
      </c>
      <c r="F603" t="s">
        <v>817</v>
      </c>
      <c r="G603" t="s">
        <v>105</v>
      </c>
      <c r="H603">
        <v>540772</v>
      </c>
      <c r="I603">
        <v>25568251</v>
      </c>
      <c r="J603">
        <v>90</v>
      </c>
      <c r="K603" t="str" cm="1">
        <f t="array" ref="K60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04" spans="1:11" x14ac:dyDescent="0.35">
      <c r="A604" t="s">
        <v>1467</v>
      </c>
      <c r="B604">
        <v>2004</v>
      </c>
      <c r="C604">
        <v>126</v>
      </c>
      <c r="D604" t="s">
        <v>74</v>
      </c>
      <c r="E604">
        <v>7.8</v>
      </c>
      <c r="F604" t="s">
        <v>928</v>
      </c>
      <c r="G604" t="s">
        <v>1468</v>
      </c>
      <c r="H604">
        <v>96703</v>
      </c>
      <c r="I604">
        <v>16756372</v>
      </c>
      <c r="J604">
        <v>75</v>
      </c>
      <c r="K604" t="str" cm="1">
        <f t="array" ref="K604">_xlfn.IFS(Table1[[#This Row],[IMDB_Rating]]&gt;=9,"Masterpiece",Table1[[#This Row],[IMDB_Rating]]&gt;=8,"Excellent",Table1[[#This Row],[IMDB_Rating]]&gt;=7,"Good",Table1[[#This Row],[IMDB_Rating]]&lt;7,"Average")</f>
        <v>Good</v>
      </c>
    </row>
    <row r="605" spans="1:11" x14ac:dyDescent="0.35">
      <c r="A605" t="s">
        <v>1376</v>
      </c>
      <c r="B605">
        <v>2013</v>
      </c>
      <c r="C605">
        <v>126</v>
      </c>
      <c r="D605" t="s">
        <v>80</v>
      </c>
      <c r="E605">
        <v>7.8</v>
      </c>
      <c r="F605" t="s">
        <v>81</v>
      </c>
      <c r="G605" t="s">
        <v>609</v>
      </c>
      <c r="H605">
        <v>73690</v>
      </c>
      <c r="I605">
        <v>5209580</v>
      </c>
      <c r="J605">
        <v>83</v>
      </c>
      <c r="K605" t="str" cm="1">
        <f t="array" ref="K605">_xlfn.IFS(Table1[[#This Row],[IMDB_Rating]]&gt;=9,"Masterpiece",Table1[[#This Row],[IMDB_Rating]]&gt;=8,"Excellent",Table1[[#This Row],[IMDB_Rating]]&gt;=7,"Good",Table1[[#This Row],[IMDB_Rating]]&lt;7,"Average")</f>
        <v>Good</v>
      </c>
    </row>
    <row r="606" spans="1:11" x14ac:dyDescent="0.35">
      <c r="A606" t="s">
        <v>476</v>
      </c>
      <c r="B606">
        <v>1948</v>
      </c>
      <c r="C606">
        <v>126</v>
      </c>
      <c r="D606" t="s">
        <v>74</v>
      </c>
      <c r="E606">
        <v>8.1999999999999993</v>
      </c>
      <c r="F606" t="s">
        <v>477</v>
      </c>
      <c r="G606" t="s">
        <v>150</v>
      </c>
      <c r="H606">
        <v>114304</v>
      </c>
      <c r="I606">
        <v>5014000</v>
      </c>
      <c r="J606">
        <v>98</v>
      </c>
      <c r="K606" t="str" cm="1">
        <f t="array" ref="K6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607" spans="1:11" x14ac:dyDescent="0.35">
      <c r="A607" t="s">
        <v>888</v>
      </c>
      <c r="B607">
        <v>2014</v>
      </c>
      <c r="C607">
        <v>126</v>
      </c>
      <c r="D607" t="s">
        <v>34</v>
      </c>
      <c r="E607">
        <v>8</v>
      </c>
      <c r="F607" t="s">
        <v>889</v>
      </c>
      <c r="G607" t="s">
        <v>890</v>
      </c>
      <c r="H607">
        <v>77554</v>
      </c>
      <c r="I607">
        <v>2086345</v>
      </c>
      <c r="J607">
        <v>74</v>
      </c>
      <c r="K607" t="str" cm="1">
        <f t="array" ref="K60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08" spans="1:11" x14ac:dyDescent="0.35">
      <c r="A608" t="s">
        <v>1892</v>
      </c>
      <c r="B608">
        <v>1976</v>
      </c>
      <c r="C608">
        <v>126</v>
      </c>
      <c r="D608" t="s">
        <v>11</v>
      </c>
      <c r="E608">
        <v>7.7</v>
      </c>
      <c r="F608" t="s">
        <v>115</v>
      </c>
      <c r="G608" t="s">
        <v>115</v>
      </c>
      <c r="H608">
        <v>39889</v>
      </c>
      <c r="I608">
        <v>1924733</v>
      </c>
      <c r="J608">
        <v>71</v>
      </c>
      <c r="K608" t="str" cm="1">
        <f t="array" ref="K608">_xlfn.IFS(Table1[[#This Row],[IMDB_Rating]]&gt;=9,"Masterpiece",Table1[[#This Row],[IMDB_Rating]]&gt;=8,"Excellent",Table1[[#This Row],[IMDB_Rating]]&gt;=7,"Good",Table1[[#This Row],[IMDB_Rating]]&lt;7,"Average")</f>
        <v>Good</v>
      </c>
    </row>
    <row r="609" spans="1:11" x14ac:dyDescent="0.35">
      <c r="A609" t="s">
        <v>154</v>
      </c>
      <c r="B609">
        <v>2018</v>
      </c>
      <c r="C609">
        <v>126</v>
      </c>
      <c r="D609" t="s">
        <v>11</v>
      </c>
      <c r="E609">
        <v>8.4</v>
      </c>
      <c r="F609" t="s">
        <v>155</v>
      </c>
      <c r="G609" t="s">
        <v>156</v>
      </c>
      <c r="H609">
        <v>62635</v>
      </c>
      <c r="I609">
        <v>1661096</v>
      </c>
      <c r="J609">
        <v>75</v>
      </c>
      <c r="K609" t="str" cm="1">
        <f t="array" ref="K609">_xlfn.IFS(Table1[[#This Row],[IMDB_Rating]]&gt;=9,"Masterpiece",Table1[[#This Row],[IMDB_Rating]]&gt;=8,"Excellent",Table1[[#This Row],[IMDB_Rating]]&gt;=7,"Good",Table1[[#This Row],[IMDB_Rating]]&lt;7,"Average")</f>
        <v>Excellent</v>
      </c>
    </row>
    <row r="610" spans="1:11" x14ac:dyDescent="0.35">
      <c r="A610" t="s">
        <v>1365</v>
      </c>
      <c r="B610">
        <v>2012</v>
      </c>
      <c r="C610">
        <v>126</v>
      </c>
      <c r="D610" t="s">
        <v>67</v>
      </c>
      <c r="E610">
        <v>7.8</v>
      </c>
      <c r="F610" t="s">
        <v>1366</v>
      </c>
      <c r="G610" t="s">
        <v>231</v>
      </c>
      <c r="H610">
        <v>39710</v>
      </c>
      <c r="I610">
        <v>169209</v>
      </c>
      <c r="K610" t="str" cm="1">
        <f t="array" ref="K610">_xlfn.IFS(Table1[[#This Row],[IMDB_Rating]]&gt;=9,"Masterpiece",Table1[[#This Row],[IMDB_Rating]]&gt;=8,"Excellent",Table1[[#This Row],[IMDB_Rating]]&gt;=7,"Good",Table1[[#This Row],[IMDB_Rating]]&lt;7,"Average")</f>
        <v>Good</v>
      </c>
    </row>
    <row r="611" spans="1:11" x14ac:dyDescent="0.35">
      <c r="A611" t="s">
        <v>641</v>
      </c>
      <c r="B611">
        <v>1993</v>
      </c>
      <c r="C611">
        <v>127</v>
      </c>
      <c r="D611" t="s">
        <v>19</v>
      </c>
      <c r="E611">
        <v>8.1</v>
      </c>
      <c r="F611" t="s">
        <v>35</v>
      </c>
      <c r="G611" t="s">
        <v>642</v>
      </c>
      <c r="H611">
        <v>867615</v>
      </c>
      <c r="I611">
        <v>402453882</v>
      </c>
      <c r="J611">
        <v>68</v>
      </c>
      <c r="K611" t="str" cm="1">
        <f t="array" ref="K611">_xlfn.IFS(Table1[[#This Row],[IMDB_Rating]]&gt;=9,"Masterpiece",Table1[[#This Row],[IMDB_Rating]]&gt;=8,"Excellent",Table1[[#This Row],[IMDB_Rating]]&gt;=7,"Good",Table1[[#This Row],[IMDB_Rating]]&lt;7,"Average")</f>
        <v>Excellent</v>
      </c>
    </row>
    <row r="612" spans="1:11" x14ac:dyDescent="0.35">
      <c r="A612" t="s">
        <v>1152</v>
      </c>
      <c r="B612">
        <v>2009</v>
      </c>
      <c r="C612">
        <v>127</v>
      </c>
      <c r="D612" t="s">
        <v>19</v>
      </c>
      <c r="E612">
        <v>7.9</v>
      </c>
      <c r="F612" t="s">
        <v>1116</v>
      </c>
      <c r="G612" t="s">
        <v>1153</v>
      </c>
      <c r="H612">
        <v>577336</v>
      </c>
      <c r="I612">
        <v>257730019</v>
      </c>
      <c r="J612">
        <v>82</v>
      </c>
      <c r="K612" t="str" cm="1">
        <f t="array" ref="K612">_xlfn.IFS(Table1[[#This Row],[IMDB_Rating]]&gt;=9,"Masterpiece",Table1[[#This Row],[IMDB_Rating]]&gt;=8,"Excellent",Table1[[#This Row],[IMDB_Rating]]&gt;=7,"Good",Table1[[#This Row],[IMDB_Rating]]&lt;7,"Average")</f>
        <v>Good</v>
      </c>
    </row>
    <row r="613" spans="1:11" x14ac:dyDescent="0.35">
      <c r="A613" t="s">
        <v>422</v>
      </c>
      <c r="B613">
        <v>1989</v>
      </c>
      <c r="C613">
        <v>127</v>
      </c>
      <c r="D613" t="s">
        <v>19</v>
      </c>
      <c r="E613">
        <v>8.1999999999999993</v>
      </c>
      <c r="F613" t="s">
        <v>35</v>
      </c>
      <c r="G613" t="s">
        <v>202</v>
      </c>
      <c r="H613">
        <v>692366</v>
      </c>
      <c r="I613">
        <v>197171806</v>
      </c>
      <c r="J613">
        <v>65</v>
      </c>
      <c r="K613" t="str" cm="1">
        <f t="array" ref="K61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14" spans="1:11" x14ac:dyDescent="0.35">
      <c r="A614" t="s">
        <v>874</v>
      </c>
      <c r="B614">
        <v>2004</v>
      </c>
      <c r="C614">
        <v>127</v>
      </c>
      <c r="D614" t="s">
        <v>74</v>
      </c>
      <c r="E614">
        <v>8</v>
      </c>
      <c r="F614" t="s">
        <v>875</v>
      </c>
      <c r="G614" t="s">
        <v>876</v>
      </c>
      <c r="H614">
        <v>56960</v>
      </c>
      <c r="I614">
        <v>196206077</v>
      </c>
      <c r="K614" t="str" cm="1">
        <f t="array" ref="K614">_xlfn.IFS(Table1[[#This Row],[IMDB_Rating]]&gt;=9,"Masterpiece",Table1[[#This Row],[IMDB_Rating]]&gt;=8,"Excellent",Table1[[#This Row],[IMDB_Rating]]&gt;=7,"Good",Table1[[#This Row],[IMDB_Rating]]&lt;7,"Average")</f>
        <v>Excellent</v>
      </c>
    </row>
    <row r="615" spans="1:11" x14ac:dyDescent="0.35">
      <c r="A615" t="s">
        <v>1325</v>
      </c>
      <c r="B615">
        <v>2016</v>
      </c>
      <c r="C615">
        <v>127</v>
      </c>
      <c r="D615" t="s">
        <v>34</v>
      </c>
      <c r="E615">
        <v>7.8</v>
      </c>
      <c r="F615" t="s">
        <v>1326</v>
      </c>
      <c r="G615" t="s">
        <v>1327</v>
      </c>
      <c r="H615">
        <v>200876</v>
      </c>
      <c r="I615">
        <v>169607287</v>
      </c>
      <c r="J615">
        <v>74</v>
      </c>
      <c r="K615" t="str" cm="1">
        <f t="array" ref="K615">_xlfn.IFS(Table1[[#This Row],[IMDB_Rating]]&gt;=9,"Masterpiece",Table1[[#This Row],[IMDB_Rating]]&gt;=8,"Excellent",Table1[[#This Row],[IMDB_Rating]]&gt;=7,"Good",Table1[[#This Row],[IMDB_Rating]]&lt;7,"Average")</f>
        <v>Good</v>
      </c>
    </row>
    <row r="616" spans="1:11" x14ac:dyDescent="0.35">
      <c r="A616" t="s">
        <v>1164</v>
      </c>
      <c r="B616">
        <v>2012</v>
      </c>
      <c r="C616">
        <v>127</v>
      </c>
      <c r="D616" t="s">
        <v>74</v>
      </c>
      <c r="E616">
        <v>7.9</v>
      </c>
      <c r="F616" t="s">
        <v>1165</v>
      </c>
      <c r="G616" t="s">
        <v>1166</v>
      </c>
      <c r="H616">
        <v>580708</v>
      </c>
      <c r="I616">
        <v>124987023</v>
      </c>
      <c r="J616">
        <v>79</v>
      </c>
      <c r="K616" t="str" cm="1">
        <f t="array" ref="K616">_xlfn.IFS(Table1[[#This Row],[IMDB_Rating]]&gt;=9,"Masterpiece",Table1[[#This Row],[IMDB_Rating]]&gt;=8,"Excellent",Table1[[#This Row],[IMDB_Rating]]&gt;=7,"Good",Table1[[#This Row],[IMDB_Rating]]&lt;7,"Average")</f>
        <v>Good</v>
      </c>
    </row>
    <row r="617" spans="1:11" x14ac:dyDescent="0.35">
      <c r="A617" t="s">
        <v>87</v>
      </c>
      <c r="B617">
        <v>1995</v>
      </c>
      <c r="C617">
        <v>127</v>
      </c>
      <c r="D617" t="s">
        <v>15</v>
      </c>
      <c r="E617">
        <v>8.6</v>
      </c>
      <c r="F617" t="s">
        <v>40</v>
      </c>
      <c r="G617" t="s">
        <v>88</v>
      </c>
      <c r="H617">
        <v>1445096</v>
      </c>
      <c r="I617">
        <v>100125643</v>
      </c>
      <c r="J617">
        <v>65</v>
      </c>
      <c r="K617" t="str" cm="1">
        <f t="array" ref="K61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18" spans="1:11" x14ac:dyDescent="0.35">
      <c r="A618" t="s">
        <v>1821</v>
      </c>
      <c r="B618">
        <v>1997</v>
      </c>
      <c r="C618">
        <v>127</v>
      </c>
      <c r="D618" t="s">
        <v>34</v>
      </c>
      <c r="E618">
        <v>7.7</v>
      </c>
      <c r="F618" t="s">
        <v>1766</v>
      </c>
      <c r="G618" t="s">
        <v>23</v>
      </c>
      <c r="H618">
        <v>279318</v>
      </c>
      <c r="I618">
        <v>41909762</v>
      </c>
      <c r="J618">
        <v>76</v>
      </c>
      <c r="K618" t="str" cm="1">
        <f t="array" ref="K618">_xlfn.IFS(Table1[[#This Row],[IMDB_Rating]]&gt;=9,"Masterpiece",Table1[[#This Row],[IMDB_Rating]]&gt;=8,"Excellent",Table1[[#This Row],[IMDB_Rating]]&gt;=7,"Good",Table1[[#This Row],[IMDB_Rating]]&lt;7,"Average")</f>
        <v>Good</v>
      </c>
    </row>
    <row r="619" spans="1:11" x14ac:dyDescent="0.35">
      <c r="A619" t="s">
        <v>2043</v>
      </c>
      <c r="B619">
        <v>2007</v>
      </c>
      <c r="C619">
        <v>127</v>
      </c>
      <c r="D619" t="s">
        <v>74</v>
      </c>
      <c r="E619">
        <v>7.6</v>
      </c>
      <c r="F619" t="s">
        <v>1659</v>
      </c>
      <c r="G619" t="s">
        <v>2044</v>
      </c>
      <c r="H619">
        <v>255036</v>
      </c>
      <c r="I619">
        <v>38634938</v>
      </c>
      <c r="J619">
        <v>66</v>
      </c>
      <c r="K619" t="str" cm="1">
        <f t="array" ref="K619">_xlfn.IFS(Table1[[#This Row],[IMDB_Rating]]&gt;=9,"Masterpiece",Table1[[#This Row],[IMDB_Rating]]&gt;=8,"Excellent",Table1[[#This Row],[IMDB_Rating]]&gt;=7,"Good",Table1[[#This Row],[IMDB_Rating]]&lt;7,"Average")</f>
        <v>Good</v>
      </c>
    </row>
    <row r="620" spans="1:11" x14ac:dyDescent="0.35">
      <c r="A620" t="s">
        <v>701</v>
      </c>
      <c r="B620">
        <v>1967</v>
      </c>
      <c r="C620">
        <v>127</v>
      </c>
      <c r="D620" t="s">
        <v>15</v>
      </c>
      <c r="E620">
        <v>8.1</v>
      </c>
      <c r="F620" t="s">
        <v>702</v>
      </c>
      <c r="G620" t="s">
        <v>294</v>
      </c>
      <c r="H620">
        <v>161984</v>
      </c>
      <c r="I620">
        <v>16217773</v>
      </c>
      <c r="J620">
        <v>92</v>
      </c>
      <c r="K620" t="str" cm="1">
        <f t="array" ref="K62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21" spans="1:11" x14ac:dyDescent="0.35">
      <c r="A621" t="s">
        <v>1128</v>
      </c>
      <c r="B621">
        <v>2012</v>
      </c>
      <c r="C621">
        <v>127</v>
      </c>
      <c r="D621" t="s">
        <v>11</v>
      </c>
      <c r="E621">
        <v>7.9</v>
      </c>
      <c r="F621" t="s">
        <v>1129</v>
      </c>
      <c r="G621" t="s">
        <v>1008</v>
      </c>
      <c r="H621">
        <v>93090</v>
      </c>
      <c r="I621">
        <v>6739492</v>
      </c>
      <c r="J621">
        <v>94</v>
      </c>
      <c r="K621" t="str" cm="1">
        <f t="array" ref="K621">_xlfn.IFS(Table1[[#This Row],[IMDB_Rating]]&gt;=9,"Masterpiece",Table1[[#This Row],[IMDB_Rating]]&gt;=8,"Excellent",Table1[[#This Row],[IMDB_Rating]]&gt;=7,"Good",Table1[[#This Row],[IMDB_Rating]]&lt;7,"Average")</f>
        <v>Good</v>
      </c>
    </row>
    <row r="622" spans="1:11" x14ac:dyDescent="0.35">
      <c r="A622" t="s">
        <v>1505</v>
      </c>
      <c r="B622">
        <v>1994</v>
      </c>
      <c r="C622">
        <v>127</v>
      </c>
      <c r="D622" t="s">
        <v>34</v>
      </c>
      <c r="E622">
        <v>7.8</v>
      </c>
      <c r="F622" t="s">
        <v>902</v>
      </c>
      <c r="G622" t="s">
        <v>900</v>
      </c>
      <c r="H622">
        <v>164937</v>
      </c>
      <c r="I622">
        <v>5887457</v>
      </c>
      <c r="J622">
        <v>70</v>
      </c>
      <c r="K622" t="str" cm="1">
        <f t="array" ref="K622">_xlfn.IFS(Table1[[#This Row],[IMDB_Rating]]&gt;=9,"Masterpiece",Table1[[#This Row],[IMDB_Rating]]&gt;=8,"Excellent",Table1[[#This Row],[IMDB_Rating]]&gt;=7,"Good",Table1[[#This Row],[IMDB_Rating]]&lt;7,"Average")</f>
        <v>Good</v>
      </c>
    </row>
    <row r="623" spans="1:11" x14ac:dyDescent="0.35">
      <c r="A623" t="s">
        <v>1454</v>
      </c>
      <c r="B623">
        <v>2005</v>
      </c>
      <c r="C623">
        <v>127</v>
      </c>
      <c r="D623" t="s">
        <v>34</v>
      </c>
      <c r="E623">
        <v>7.8</v>
      </c>
      <c r="F623" t="s">
        <v>1455</v>
      </c>
      <c r="G623" t="s">
        <v>677</v>
      </c>
      <c r="H623">
        <v>51980</v>
      </c>
      <c r="I623">
        <v>5128124</v>
      </c>
      <c r="J623">
        <v>68</v>
      </c>
      <c r="K623" t="str" cm="1">
        <f t="array" ref="K623">_xlfn.IFS(Table1[[#This Row],[IMDB_Rating]]&gt;=9,"Masterpiece",Table1[[#This Row],[IMDB_Rating]]&gt;=8,"Excellent",Table1[[#This Row],[IMDB_Rating]]&gt;=7,"Good",Table1[[#This Row],[IMDB_Rating]]&lt;7,"Average")</f>
        <v>Good</v>
      </c>
    </row>
    <row r="624" spans="1:11" x14ac:dyDescent="0.35">
      <c r="A624" t="s">
        <v>1244</v>
      </c>
      <c r="B624">
        <v>1978</v>
      </c>
      <c r="C624">
        <v>127</v>
      </c>
      <c r="D624" t="s">
        <v>19</v>
      </c>
      <c r="E624">
        <v>7.9</v>
      </c>
      <c r="F624" t="s">
        <v>1245</v>
      </c>
      <c r="G624" t="s">
        <v>1246</v>
      </c>
      <c r="H624">
        <v>111512</v>
      </c>
      <c r="I624">
        <v>5100000</v>
      </c>
      <c r="J624">
        <v>71</v>
      </c>
      <c r="K624" t="str" cm="1">
        <f t="array" ref="K624">_xlfn.IFS(Table1[[#This Row],[IMDB_Rating]]&gt;=9,"Masterpiece",Table1[[#This Row],[IMDB_Rating]]&gt;=8,"Excellent",Table1[[#This Row],[IMDB_Rating]]&gt;=7,"Good",Table1[[#This Row],[IMDB_Rating]]&lt;7,"Average")</f>
        <v>Good</v>
      </c>
    </row>
    <row r="625" spans="1:11" x14ac:dyDescent="0.35">
      <c r="A625" t="s">
        <v>1961</v>
      </c>
      <c r="B625">
        <v>2017</v>
      </c>
      <c r="C625">
        <v>127</v>
      </c>
      <c r="D625" t="s">
        <v>11</v>
      </c>
      <c r="E625">
        <v>7.6</v>
      </c>
      <c r="F625" t="s">
        <v>885</v>
      </c>
      <c r="G625" t="s">
        <v>1962</v>
      </c>
      <c r="H625">
        <v>29765</v>
      </c>
      <c r="I625">
        <v>566356</v>
      </c>
      <c r="J625">
        <v>86</v>
      </c>
      <c r="K625" t="str" cm="1">
        <f t="array" ref="K625">_xlfn.IFS(Table1[[#This Row],[IMDB_Rating]]&gt;=9,"Masterpiece",Table1[[#This Row],[IMDB_Rating]]&gt;=8,"Excellent",Table1[[#This Row],[IMDB_Rating]]&gt;=7,"Good",Table1[[#This Row],[IMDB_Rating]]&lt;7,"Average")</f>
        <v>Good</v>
      </c>
    </row>
    <row r="626" spans="1:11" x14ac:dyDescent="0.35">
      <c r="A626" t="s">
        <v>618</v>
      </c>
      <c r="B626">
        <v>1998</v>
      </c>
      <c r="C626">
        <v>127</v>
      </c>
      <c r="D626" t="s">
        <v>67</v>
      </c>
      <c r="E626">
        <v>8.1</v>
      </c>
      <c r="F626" t="s">
        <v>424</v>
      </c>
      <c r="G626" t="s">
        <v>619</v>
      </c>
      <c r="H626">
        <v>50862</v>
      </c>
      <c r="I626">
        <v>348660</v>
      </c>
      <c r="J626">
        <v>73</v>
      </c>
      <c r="K626" t="str" cm="1">
        <f t="array" ref="K626">_xlfn.IFS(Table1[[#This Row],[IMDB_Rating]]&gt;=9,"Masterpiece",Table1[[#This Row],[IMDB_Rating]]&gt;=8,"Excellent",Table1[[#This Row],[IMDB_Rating]]&gt;=7,"Good",Table1[[#This Row],[IMDB_Rating]]&lt;7,"Average")</f>
        <v>Excellent</v>
      </c>
    </row>
    <row r="627" spans="1:11" x14ac:dyDescent="0.35">
      <c r="A627" t="s">
        <v>413</v>
      </c>
      <c r="B627">
        <v>1996</v>
      </c>
      <c r="C627">
        <v>128</v>
      </c>
      <c r="D627" t="s">
        <v>15</v>
      </c>
      <c r="E627">
        <v>8.1999999999999993</v>
      </c>
      <c r="F627" t="s">
        <v>414</v>
      </c>
      <c r="G627" t="s">
        <v>415</v>
      </c>
      <c r="H627">
        <v>64118</v>
      </c>
      <c r="I627">
        <v>764480450</v>
      </c>
      <c r="K627" t="str" cm="1">
        <f t="array" ref="K62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28" spans="1:11" x14ac:dyDescent="0.35">
      <c r="A628" t="s">
        <v>1523</v>
      </c>
      <c r="B628">
        <v>1992</v>
      </c>
      <c r="C628">
        <v>128</v>
      </c>
      <c r="D628" t="s">
        <v>19</v>
      </c>
      <c r="E628">
        <v>7.8</v>
      </c>
      <c r="F628" t="s">
        <v>1524</v>
      </c>
      <c r="G628" t="s">
        <v>1484</v>
      </c>
      <c r="H628">
        <v>46700</v>
      </c>
      <c r="I628">
        <v>565451439</v>
      </c>
      <c r="K628" t="str" cm="1">
        <f t="array" ref="K628">_xlfn.IFS(Table1[[#This Row],[IMDB_Rating]]&gt;=9,"Masterpiece",Table1[[#This Row],[IMDB_Rating]]&gt;=8,"Excellent",Table1[[#This Row],[IMDB_Rating]]&gt;=7,"Good",Table1[[#This Row],[IMDB_Rating]]&lt;7,"Average")</f>
        <v>Good</v>
      </c>
    </row>
    <row r="629" spans="1:11" x14ac:dyDescent="0.35">
      <c r="A629" t="s">
        <v>2034</v>
      </c>
      <c r="B629">
        <v>2009</v>
      </c>
      <c r="C629">
        <v>128</v>
      </c>
      <c r="D629" t="s">
        <v>19</v>
      </c>
      <c r="E629">
        <v>7.6</v>
      </c>
      <c r="F629" t="s">
        <v>258</v>
      </c>
      <c r="G629" t="s">
        <v>853</v>
      </c>
      <c r="H629">
        <v>583158</v>
      </c>
      <c r="I629">
        <v>209028679</v>
      </c>
      <c r="J629">
        <v>57</v>
      </c>
      <c r="K629" t="str" cm="1">
        <f t="array" ref="K629">_xlfn.IFS(Table1[[#This Row],[IMDB_Rating]]&gt;=9,"Masterpiece",Table1[[#This Row],[IMDB_Rating]]&gt;=8,"Excellent",Table1[[#This Row],[IMDB_Rating]]&gt;=7,"Good",Table1[[#This Row],[IMDB_Rating]]&lt;7,"Average")</f>
        <v>Good</v>
      </c>
    </row>
    <row r="630" spans="1:11" x14ac:dyDescent="0.35">
      <c r="A630" t="s">
        <v>786</v>
      </c>
      <c r="B630">
        <v>2016</v>
      </c>
      <c r="C630">
        <v>128</v>
      </c>
      <c r="D630" t="s">
        <v>67</v>
      </c>
      <c r="E630">
        <v>8</v>
      </c>
      <c r="F630" t="s">
        <v>107</v>
      </c>
      <c r="G630" t="s">
        <v>787</v>
      </c>
      <c r="H630">
        <v>505918</v>
      </c>
      <c r="I630">
        <v>151101803</v>
      </c>
      <c r="J630">
        <v>94</v>
      </c>
      <c r="K630" t="str" cm="1">
        <f t="array" ref="K63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1" spans="1:11" x14ac:dyDescent="0.35">
      <c r="A631" t="s">
        <v>2122</v>
      </c>
      <c r="B631">
        <v>1995</v>
      </c>
      <c r="C631">
        <v>128</v>
      </c>
      <c r="D631" t="s">
        <v>19</v>
      </c>
      <c r="E631">
        <v>7.6</v>
      </c>
      <c r="F631" t="s">
        <v>429</v>
      </c>
      <c r="G631" t="s">
        <v>430</v>
      </c>
      <c r="H631">
        <v>364420</v>
      </c>
      <c r="I631">
        <v>100012499</v>
      </c>
      <c r="J631">
        <v>58</v>
      </c>
      <c r="K631" t="str" cm="1">
        <f t="array" ref="K631">_xlfn.IFS(Table1[[#This Row],[IMDB_Rating]]&gt;=9,"Masterpiece",Table1[[#This Row],[IMDB_Rating]]&gt;=8,"Excellent",Table1[[#This Row],[IMDB_Rating]]&gt;=7,"Good",Table1[[#This Row],[IMDB_Rating]]&lt;7,"Average")</f>
        <v>Good</v>
      </c>
    </row>
    <row r="632" spans="1:11" x14ac:dyDescent="0.35">
      <c r="A632" t="s">
        <v>651</v>
      </c>
      <c r="B632">
        <v>1989</v>
      </c>
      <c r="C632">
        <v>128</v>
      </c>
      <c r="D632" t="s">
        <v>67</v>
      </c>
      <c r="E632">
        <v>8.1</v>
      </c>
      <c r="F632" t="s">
        <v>617</v>
      </c>
      <c r="G632" t="s">
        <v>266</v>
      </c>
      <c r="H632">
        <v>425457</v>
      </c>
      <c r="I632">
        <v>95860116</v>
      </c>
      <c r="J632">
        <v>79</v>
      </c>
      <c r="K632" t="str" cm="1">
        <f t="array" ref="K632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3" spans="1:11" x14ac:dyDescent="0.35">
      <c r="A633" t="s">
        <v>721</v>
      </c>
      <c r="B633">
        <v>1960</v>
      </c>
      <c r="C633">
        <v>128</v>
      </c>
      <c r="D633" t="s">
        <v>34</v>
      </c>
      <c r="E633">
        <v>8.1</v>
      </c>
      <c r="F633" t="s">
        <v>456</v>
      </c>
      <c r="G633" t="s">
        <v>457</v>
      </c>
      <c r="H633">
        <v>27254</v>
      </c>
      <c r="I633">
        <v>62850934</v>
      </c>
      <c r="J633">
        <v>75</v>
      </c>
      <c r="K633" t="str" cm="1">
        <f t="array" ref="K63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4" spans="1:11" x14ac:dyDescent="0.35">
      <c r="A634" t="s">
        <v>844</v>
      </c>
      <c r="B634">
        <v>2009</v>
      </c>
      <c r="C634">
        <v>128</v>
      </c>
      <c r="D634" t="s">
        <v>19</v>
      </c>
      <c r="E634">
        <v>8</v>
      </c>
      <c r="F634" t="s">
        <v>845</v>
      </c>
      <c r="G634" t="s">
        <v>159</v>
      </c>
      <c r="H634">
        <v>31838</v>
      </c>
      <c r="I634">
        <v>45527809</v>
      </c>
      <c r="K634" t="str" cm="1">
        <f t="array" ref="K634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5" spans="1:11" x14ac:dyDescent="0.35">
      <c r="A635" t="s">
        <v>1542</v>
      </c>
      <c r="B635">
        <v>1988</v>
      </c>
      <c r="C635">
        <v>128</v>
      </c>
      <c r="D635" t="s">
        <v>15</v>
      </c>
      <c r="E635">
        <v>7.8</v>
      </c>
      <c r="F635" t="s">
        <v>667</v>
      </c>
      <c r="G635" t="s">
        <v>1543</v>
      </c>
      <c r="H635">
        <v>88214</v>
      </c>
      <c r="I635">
        <v>34603943</v>
      </c>
      <c r="J635">
        <v>65</v>
      </c>
      <c r="K635" t="str" cm="1">
        <f t="array" ref="K635">_xlfn.IFS(Table1[[#This Row],[IMDB_Rating]]&gt;=9,"Masterpiece",Table1[[#This Row],[IMDB_Rating]]&gt;=8,"Excellent",Table1[[#This Row],[IMDB_Rating]]&gt;=7,"Good",Table1[[#This Row],[IMDB_Rating]]&lt;7,"Average")</f>
        <v>Good</v>
      </c>
    </row>
    <row r="636" spans="1:11" x14ac:dyDescent="0.35">
      <c r="A636" t="s">
        <v>1932</v>
      </c>
      <c r="B636">
        <v>1960</v>
      </c>
      <c r="C636">
        <v>128</v>
      </c>
      <c r="D636" t="s">
        <v>19</v>
      </c>
      <c r="E636">
        <v>7.7</v>
      </c>
      <c r="F636" t="s">
        <v>449</v>
      </c>
      <c r="G636" t="s">
        <v>1933</v>
      </c>
      <c r="H636">
        <v>87719</v>
      </c>
      <c r="I636">
        <v>4905000</v>
      </c>
      <c r="J636">
        <v>74</v>
      </c>
      <c r="K636" t="str" cm="1">
        <f t="array" ref="K636">_xlfn.IFS(Table1[[#This Row],[IMDB_Rating]]&gt;=9,"Masterpiece",Table1[[#This Row],[IMDB_Rating]]&gt;=8,"Excellent",Table1[[#This Row],[IMDB_Rating]]&gt;=7,"Good",Table1[[#This Row],[IMDB_Rating]]&lt;7,"Average")</f>
        <v>Good</v>
      </c>
    </row>
    <row r="637" spans="1:11" x14ac:dyDescent="0.35">
      <c r="A637" t="s">
        <v>975</v>
      </c>
      <c r="B637">
        <v>1987</v>
      </c>
      <c r="C637">
        <v>128</v>
      </c>
      <c r="D637" t="s">
        <v>11</v>
      </c>
      <c r="E637">
        <v>8</v>
      </c>
      <c r="F637" t="s">
        <v>659</v>
      </c>
      <c r="G637" t="s">
        <v>401</v>
      </c>
      <c r="H637">
        <v>64722</v>
      </c>
      <c r="I637">
        <v>3333969</v>
      </c>
      <c r="J637">
        <v>79</v>
      </c>
      <c r="K637" t="str" cm="1">
        <f t="array" ref="K6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8" spans="1:11" x14ac:dyDescent="0.35">
      <c r="A638" t="s">
        <v>307</v>
      </c>
      <c r="B638">
        <v>1958</v>
      </c>
      <c r="C638">
        <v>128</v>
      </c>
      <c r="D638" t="s">
        <v>196</v>
      </c>
      <c r="E638">
        <v>8.3000000000000007</v>
      </c>
      <c r="F638" t="s">
        <v>146</v>
      </c>
      <c r="G638" t="s">
        <v>102</v>
      </c>
      <c r="H638">
        <v>364368</v>
      </c>
      <c r="I638">
        <v>3200000</v>
      </c>
      <c r="J638">
        <v>100</v>
      </c>
      <c r="K638" t="str" cm="1">
        <f t="array" ref="K638">_xlfn.IFS(Table1[[#This Row],[IMDB_Rating]]&gt;=9,"Masterpiece",Table1[[#This Row],[IMDB_Rating]]&gt;=8,"Excellent",Table1[[#This Row],[IMDB_Rating]]&gt;=7,"Good",Table1[[#This Row],[IMDB_Rating]]&lt;7,"Average")</f>
        <v>Excellent</v>
      </c>
    </row>
    <row r="639" spans="1:11" x14ac:dyDescent="0.35">
      <c r="A639" t="s">
        <v>1413</v>
      </c>
      <c r="B639">
        <v>2020</v>
      </c>
      <c r="C639">
        <v>129</v>
      </c>
      <c r="D639" t="s">
        <v>11</v>
      </c>
      <c r="E639">
        <v>7.8</v>
      </c>
      <c r="F639" t="s">
        <v>1414</v>
      </c>
      <c r="G639" t="s">
        <v>1415</v>
      </c>
      <c r="H639">
        <v>89896</v>
      </c>
      <c r="I639">
        <v>853090410</v>
      </c>
      <c r="J639">
        <v>77</v>
      </c>
      <c r="K639" t="str" cm="1">
        <f t="array" ref="K639">_xlfn.IFS(Table1[[#This Row],[IMDB_Rating]]&gt;=9,"Masterpiece",Table1[[#This Row],[IMDB_Rating]]&gt;=8,"Excellent",Table1[[#This Row],[IMDB_Rating]]&gt;=7,"Good",Table1[[#This Row],[IMDB_Rating]]&lt;7,"Average")</f>
        <v>Good</v>
      </c>
    </row>
    <row r="640" spans="1:11" x14ac:dyDescent="0.35">
      <c r="A640" t="s">
        <v>1169</v>
      </c>
      <c r="B640">
        <v>2005</v>
      </c>
      <c r="C640">
        <v>129</v>
      </c>
      <c r="D640" t="s">
        <v>67</v>
      </c>
      <c r="E640">
        <v>7.9</v>
      </c>
      <c r="F640" t="s">
        <v>858</v>
      </c>
      <c r="G640" t="s">
        <v>1170</v>
      </c>
      <c r="H640">
        <v>31476</v>
      </c>
      <c r="I640">
        <v>527282774</v>
      </c>
      <c r="J640">
        <v>81</v>
      </c>
      <c r="K640" t="str" cm="1">
        <f t="array" ref="K640">_xlfn.IFS(Table1[[#This Row],[IMDB_Rating]]&gt;=9,"Masterpiece",Table1[[#This Row],[IMDB_Rating]]&gt;=8,"Excellent",Table1[[#This Row],[IMDB_Rating]]&gt;=7,"Good",Table1[[#This Row],[IMDB_Rating]]&lt;7,"Average")</f>
        <v>Good</v>
      </c>
    </row>
    <row r="641" spans="1:11" x14ac:dyDescent="0.35">
      <c r="A641" t="s">
        <v>451</v>
      </c>
      <c r="B641">
        <v>1962</v>
      </c>
      <c r="C641">
        <v>129</v>
      </c>
      <c r="D641" t="s">
        <v>15</v>
      </c>
      <c r="E641">
        <v>8.1999999999999993</v>
      </c>
      <c r="F641" t="s">
        <v>452</v>
      </c>
      <c r="G641" t="s">
        <v>453</v>
      </c>
      <c r="H641">
        <v>293811</v>
      </c>
      <c r="I641">
        <v>504340883</v>
      </c>
      <c r="J641">
        <v>88</v>
      </c>
      <c r="K641" t="str" cm="1">
        <f t="array" ref="K641">_xlfn.IFS(Table1[[#This Row],[IMDB_Rating]]&gt;=9,"Masterpiece",Table1[[#This Row],[IMDB_Rating]]&gt;=8,"Excellent",Table1[[#This Row],[IMDB_Rating]]&gt;=7,"Good",Table1[[#This Row],[IMDB_Rating]]&lt;7,"Average")</f>
        <v>Excellent</v>
      </c>
    </row>
    <row r="642" spans="1:11" x14ac:dyDescent="0.35">
      <c r="A642" t="s">
        <v>1576</v>
      </c>
      <c r="B642">
        <v>1975</v>
      </c>
      <c r="C642">
        <v>129</v>
      </c>
      <c r="D642" t="s">
        <v>74</v>
      </c>
      <c r="E642">
        <v>7.8</v>
      </c>
      <c r="F642" t="s">
        <v>477</v>
      </c>
      <c r="G642" t="s">
        <v>1577</v>
      </c>
      <c r="H642">
        <v>44917</v>
      </c>
      <c r="I642">
        <v>335861628</v>
      </c>
      <c r="J642">
        <v>91</v>
      </c>
      <c r="K642" t="str" cm="1">
        <f t="array" ref="K642">_xlfn.IFS(Table1[[#This Row],[IMDB_Rating]]&gt;=9,"Masterpiece",Table1[[#This Row],[IMDB_Rating]]&gt;=8,"Excellent",Table1[[#This Row],[IMDB_Rating]]&gt;=7,"Good",Table1[[#This Row],[IMDB_Rating]]&lt;7,"Average")</f>
        <v>Good</v>
      </c>
    </row>
    <row r="643" spans="1:11" x14ac:dyDescent="0.35">
      <c r="A643" t="s">
        <v>2035</v>
      </c>
      <c r="B643">
        <v>2009</v>
      </c>
      <c r="C643">
        <v>129</v>
      </c>
      <c r="D643" t="s">
        <v>34</v>
      </c>
      <c r="E643">
        <v>7.6</v>
      </c>
      <c r="F643" t="s">
        <v>2036</v>
      </c>
      <c r="G643" t="s">
        <v>2037</v>
      </c>
      <c r="H643">
        <v>293266</v>
      </c>
      <c r="I643">
        <v>255959475</v>
      </c>
      <c r="J643">
        <v>53</v>
      </c>
      <c r="K643" t="str" cm="1">
        <f t="array" ref="K643">_xlfn.IFS(Table1[[#This Row],[IMDB_Rating]]&gt;=9,"Masterpiece",Table1[[#This Row],[IMDB_Rating]]&gt;=8,"Excellent",Table1[[#This Row],[IMDB_Rating]]&gt;=7,"Good",Table1[[#This Row],[IMDB_Rating]]&lt;7,"Average")</f>
        <v>Good</v>
      </c>
    </row>
    <row r="644" spans="1:11" x14ac:dyDescent="0.35">
      <c r="A644" t="s">
        <v>292</v>
      </c>
      <c r="B644">
        <v>1973</v>
      </c>
      <c r="C644">
        <v>129</v>
      </c>
      <c r="D644" t="s">
        <v>67</v>
      </c>
      <c r="E644">
        <v>8.3000000000000007</v>
      </c>
      <c r="F644" t="s">
        <v>293</v>
      </c>
      <c r="G644" t="s">
        <v>294</v>
      </c>
      <c r="H644">
        <v>241513</v>
      </c>
      <c r="I644">
        <v>159600000</v>
      </c>
      <c r="J644">
        <v>83</v>
      </c>
      <c r="K644" t="str" cm="1">
        <f t="array" ref="K644">_xlfn.IFS(Table1[[#This Row],[IMDB_Rating]]&gt;=9,"Masterpiece",Table1[[#This Row],[IMDB_Rating]]&gt;=8,"Excellent",Table1[[#This Row],[IMDB_Rating]]&gt;=7,"Good",Table1[[#This Row],[IMDB_Rating]]&lt;7,"Average")</f>
        <v>Excellent</v>
      </c>
    </row>
    <row r="645" spans="1:11" x14ac:dyDescent="0.35">
      <c r="A645" t="s">
        <v>1658</v>
      </c>
      <c r="B645">
        <v>2014</v>
      </c>
      <c r="C645">
        <v>129</v>
      </c>
      <c r="D645" t="s">
        <v>19</v>
      </c>
      <c r="E645">
        <v>7.7</v>
      </c>
      <c r="F645" t="s">
        <v>1659</v>
      </c>
      <c r="G645" t="s">
        <v>828</v>
      </c>
      <c r="H645">
        <v>590440</v>
      </c>
      <c r="I645">
        <v>128261724</v>
      </c>
      <c r="J645">
        <v>60</v>
      </c>
      <c r="K645" t="str" cm="1">
        <f t="array" ref="K645">_xlfn.IFS(Table1[[#This Row],[IMDB_Rating]]&gt;=9,"Masterpiece",Table1[[#This Row],[IMDB_Rating]]&gt;=8,"Excellent",Table1[[#This Row],[IMDB_Rating]]&gt;=7,"Good",Table1[[#This Row],[IMDB_Rating]]&lt;7,"Average")</f>
        <v>Good</v>
      </c>
    </row>
    <row r="646" spans="1:11" x14ac:dyDescent="0.35">
      <c r="A646" t="s">
        <v>2047</v>
      </c>
      <c r="B646">
        <v>2006</v>
      </c>
      <c r="C646">
        <v>129</v>
      </c>
      <c r="D646" t="s">
        <v>15</v>
      </c>
      <c r="E646">
        <v>7.6</v>
      </c>
      <c r="F646" t="s">
        <v>965</v>
      </c>
      <c r="G646" t="s">
        <v>1436</v>
      </c>
      <c r="H646">
        <v>339757</v>
      </c>
      <c r="I646">
        <v>88513495</v>
      </c>
      <c r="J646">
        <v>76</v>
      </c>
      <c r="K646" t="str" cm="1">
        <f t="array" ref="K646">_xlfn.IFS(Table1[[#This Row],[IMDB_Rating]]&gt;=9,"Masterpiece",Table1[[#This Row],[IMDB_Rating]]&gt;=8,"Excellent",Table1[[#This Row],[IMDB_Rating]]&gt;=7,"Good",Table1[[#This Row],[IMDB_Rating]]&lt;7,"Average")</f>
        <v>Good</v>
      </c>
    </row>
    <row r="647" spans="1:11" x14ac:dyDescent="0.35">
      <c r="A647" t="s">
        <v>940</v>
      </c>
      <c r="B647">
        <v>1995</v>
      </c>
      <c r="C647">
        <v>129</v>
      </c>
      <c r="D647" t="s">
        <v>196</v>
      </c>
      <c r="E647">
        <v>8</v>
      </c>
      <c r="F647" t="s">
        <v>446</v>
      </c>
      <c r="G647" t="s">
        <v>430</v>
      </c>
      <c r="H647">
        <v>578443</v>
      </c>
      <c r="I647">
        <v>57141459</v>
      </c>
      <c r="J647">
        <v>74</v>
      </c>
      <c r="K647" t="str" cm="1">
        <f t="array" ref="K6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48" spans="1:11" x14ac:dyDescent="0.35">
      <c r="A648" t="s">
        <v>1824</v>
      </c>
      <c r="B648">
        <v>1996</v>
      </c>
      <c r="C648">
        <v>129</v>
      </c>
      <c r="D648" t="s">
        <v>15</v>
      </c>
      <c r="E648">
        <v>7.7</v>
      </c>
      <c r="F648" t="s">
        <v>1825</v>
      </c>
      <c r="G648" t="s">
        <v>570</v>
      </c>
      <c r="H648">
        <v>189716</v>
      </c>
      <c r="I648">
        <v>56116183</v>
      </c>
      <c r="J648">
        <v>47</v>
      </c>
      <c r="K648" t="str" cm="1">
        <f t="array" ref="K648">_xlfn.IFS(Table1[[#This Row],[IMDB_Rating]]&gt;=9,"Masterpiece",Table1[[#This Row],[IMDB_Rating]]&gt;=8,"Excellent",Table1[[#This Row],[IMDB_Rating]]&gt;=7,"Good",Table1[[#This Row],[IMDB_Rating]]&lt;7,"Average")</f>
        <v>Good</v>
      </c>
    </row>
    <row r="649" spans="1:11" x14ac:dyDescent="0.35">
      <c r="A649" t="s">
        <v>1876</v>
      </c>
      <c r="B649">
        <v>1982</v>
      </c>
      <c r="C649">
        <v>129</v>
      </c>
      <c r="D649" t="s">
        <v>11</v>
      </c>
      <c r="E649">
        <v>7.7</v>
      </c>
      <c r="F649" t="s">
        <v>25</v>
      </c>
      <c r="G649" t="s">
        <v>294</v>
      </c>
      <c r="H649">
        <v>36096</v>
      </c>
      <c r="I649">
        <v>54000000</v>
      </c>
      <c r="J649">
        <v>77</v>
      </c>
      <c r="K649" t="str" cm="1">
        <f t="array" ref="K649">_xlfn.IFS(Table1[[#This Row],[IMDB_Rating]]&gt;=9,"Masterpiece",Table1[[#This Row],[IMDB_Rating]]&gt;=8,"Excellent",Table1[[#This Row],[IMDB_Rating]]&gt;=7,"Good",Table1[[#This Row],[IMDB_Rating]]&lt;7,"Average")</f>
        <v>Good</v>
      </c>
    </row>
    <row r="650" spans="1:11" x14ac:dyDescent="0.35">
      <c r="A650" t="s">
        <v>1501</v>
      </c>
      <c r="B650">
        <v>1997</v>
      </c>
      <c r="C650">
        <v>129</v>
      </c>
      <c r="D650" t="s">
        <v>19</v>
      </c>
      <c r="E650">
        <v>7.8</v>
      </c>
      <c r="F650" t="s">
        <v>40</v>
      </c>
      <c r="G650" t="s">
        <v>1502</v>
      </c>
      <c r="H650">
        <v>345096</v>
      </c>
      <c r="I650">
        <v>48323648</v>
      </c>
      <c r="J650">
        <v>61</v>
      </c>
      <c r="K650" t="str" cm="1">
        <f t="array" ref="K650">_xlfn.IFS(Table1[[#This Row],[IMDB_Rating]]&gt;=9,"Masterpiece",Table1[[#This Row],[IMDB_Rating]]&gt;=8,"Excellent",Table1[[#This Row],[IMDB_Rating]]&gt;=7,"Good",Table1[[#This Row],[IMDB_Rating]]&lt;7,"Average")</f>
        <v>Good</v>
      </c>
    </row>
    <row r="651" spans="1:11" x14ac:dyDescent="0.35">
      <c r="A651" t="s">
        <v>543</v>
      </c>
      <c r="B651">
        <v>2015</v>
      </c>
      <c r="C651">
        <v>129</v>
      </c>
      <c r="D651" t="s">
        <v>34</v>
      </c>
      <c r="E651">
        <v>8.1</v>
      </c>
      <c r="F651" t="s">
        <v>544</v>
      </c>
      <c r="G651" t="s">
        <v>545</v>
      </c>
      <c r="H651">
        <v>420316</v>
      </c>
      <c r="I651">
        <v>45055776</v>
      </c>
      <c r="J651">
        <v>93</v>
      </c>
      <c r="K651" t="str" cm="1">
        <f t="array" ref="K6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652" spans="1:11" x14ac:dyDescent="0.35">
      <c r="A652" t="s">
        <v>1453</v>
      </c>
      <c r="B652">
        <v>2005</v>
      </c>
      <c r="C652">
        <v>129</v>
      </c>
      <c r="D652" t="s">
        <v>11</v>
      </c>
      <c r="E652">
        <v>7.8</v>
      </c>
      <c r="F652" t="s">
        <v>1431</v>
      </c>
      <c r="G652" t="s">
        <v>1432</v>
      </c>
      <c r="H652">
        <v>258924</v>
      </c>
      <c r="I652">
        <v>38405088</v>
      </c>
      <c r="J652">
        <v>82</v>
      </c>
      <c r="K652" t="str" cm="1">
        <f t="array" ref="K652">_xlfn.IFS(Table1[[#This Row],[IMDB_Rating]]&gt;=9,"Masterpiece",Table1[[#This Row],[IMDB_Rating]]&gt;=8,"Excellent",Table1[[#This Row],[IMDB_Rating]]&gt;=7,"Good",Table1[[#This Row],[IMDB_Rating]]&lt;7,"Average")</f>
        <v>Good</v>
      </c>
    </row>
    <row r="653" spans="1:11" x14ac:dyDescent="0.35">
      <c r="A653" t="s">
        <v>432</v>
      </c>
      <c r="B653">
        <v>1980</v>
      </c>
      <c r="C653">
        <v>129</v>
      </c>
      <c r="D653" t="s">
        <v>34</v>
      </c>
      <c r="E653">
        <v>8.1999999999999993</v>
      </c>
      <c r="F653" t="s">
        <v>55</v>
      </c>
      <c r="G653" t="s">
        <v>56</v>
      </c>
      <c r="H653">
        <v>321860</v>
      </c>
      <c r="I653">
        <v>23383987</v>
      </c>
      <c r="J653">
        <v>89</v>
      </c>
      <c r="K653" t="str" cm="1">
        <f t="array" ref="K6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54" spans="1:11" x14ac:dyDescent="0.35">
      <c r="A654" t="s">
        <v>1943</v>
      </c>
      <c r="B654">
        <v>1952</v>
      </c>
      <c r="C654">
        <v>129</v>
      </c>
      <c r="D654" t="s">
        <v>67</v>
      </c>
      <c r="E654">
        <v>7.7</v>
      </c>
      <c r="F654" t="s">
        <v>717</v>
      </c>
      <c r="G654" t="s">
        <v>1033</v>
      </c>
      <c r="H654">
        <v>34677</v>
      </c>
      <c r="I654">
        <v>10550000</v>
      </c>
      <c r="K654" t="str" cm="1">
        <f t="array" ref="K654">_xlfn.IFS(Table1[[#This Row],[IMDB_Rating]]&gt;=9,"Masterpiece",Table1[[#This Row],[IMDB_Rating]]&gt;=8,"Excellent",Table1[[#This Row],[IMDB_Rating]]&gt;=7,"Good",Table1[[#This Row],[IMDB_Rating]]&lt;7,"Average")</f>
        <v>Good</v>
      </c>
    </row>
    <row r="655" spans="1:11" x14ac:dyDescent="0.35">
      <c r="A655" t="s">
        <v>753</v>
      </c>
      <c r="B655">
        <v>1939</v>
      </c>
      <c r="C655">
        <v>129</v>
      </c>
      <c r="D655" t="s">
        <v>67</v>
      </c>
      <c r="E655">
        <v>8.1</v>
      </c>
      <c r="F655" t="s">
        <v>101</v>
      </c>
      <c r="G655" t="s">
        <v>102</v>
      </c>
      <c r="H655">
        <v>107017</v>
      </c>
      <c r="I655">
        <v>9600000</v>
      </c>
      <c r="J655">
        <v>73</v>
      </c>
      <c r="K655" t="str" cm="1">
        <f t="array" ref="K6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656" spans="1:11" x14ac:dyDescent="0.35">
      <c r="A656" t="s">
        <v>368</v>
      </c>
      <c r="B656">
        <v>2009</v>
      </c>
      <c r="C656">
        <v>129</v>
      </c>
      <c r="D656" t="s">
        <v>11</v>
      </c>
      <c r="E656">
        <v>8.1999999999999993</v>
      </c>
      <c r="F656" t="s">
        <v>369</v>
      </c>
      <c r="G656" t="s">
        <v>370</v>
      </c>
      <c r="H656">
        <v>193217</v>
      </c>
      <c r="I656">
        <v>6391436</v>
      </c>
      <c r="J656">
        <v>80</v>
      </c>
      <c r="K656" t="str" cm="1">
        <f t="array" ref="K6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657" spans="1:11" x14ac:dyDescent="0.35">
      <c r="A657" t="s">
        <v>1525</v>
      </c>
      <c r="B657">
        <v>1991</v>
      </c>
      <c r="C657">
        <v>129</v>
      </c>
      <c r="D657" t="s">
        <v>67</v>
      </c>
      <c r="E657">
        <v>7.8</v>
      </c>
      <c r="F657" t="s">
        <v>1526</v>
      </c>
      <c r="G657" t="s">
        <v>1527</v>
      </c>
      <c r="H657">
        <v>55362</v>
      </c>
      <c r="I657">
        <v>2015810</v>
      </c>
      <c r="J657">
        <v>68</v>
      </c>
      <c r="K657" t="str" cm="1">
        <f t="array" ref="K657">_xlfn.IFS(Table1[[#This Row],[IMDB_Rating]]&gt;=9,"Masterpiece",Table1[[#This Row],[IMDB_Rating]]&gt;=8,"Excellent",Table1[[#This Row],[IMDB_Rating]]&gt;=7,"Good",Table1[[#This Row],[IMDB_Rating]]&lt;7,"Average")</f>
        <v>Good</v>
      </c>
    </row>
    <row r="658" spans="1:11" x14ac:dyDescent="0.35">
      <c r="A658" t="s">
        <v>1401</v>
      </c>
      <c r="B658">
        <v>2009</v>
      </c>
      <c r="C658">
        <v>129</v>
      </c>
      <c r="D658" t="s">
        <v>15</v>
      </c>
      <c r="E658">
        <v>7.8</v>
      </c>
      <c r="F658" t="s">
        <v>68</v>
      </c>
      <c r="G658" t="s">
        <v>1402</v>
      </c>
      <c r="H658">
        <v>52758</v>
      </c>
      <c r="I658">
        <v>547292</v>
      </c>
      <c r="J658">
        <v>79</v>
      </c>
      <c r="K658" t="str" cm="1">
        <f t="array" ref="K658">_xlfn.IFS(Table1[[#This Row],[IMDB_Rating]]&gt;=9,"Masterpiece",Table1[[#This Row],[IMDB_Rating]]&gt;=8,"Excellent",Table1[[#This Row],[IMDB_Rating]]&gt;=7,"Good",Table1[[#This Row],[IMDB_Rating]]&lt;7,"Average")</f>
        <v>Good</v>
      </c>
    </row>
    <row r="659" spans="1:11" x14ac:dyDescent="0.35">
      <c r="A659" t="s">
        <v>1070</v>
      </c>
      <c r="B659">
        <v>1940</v>
      </c>
      <c r="C659">
        <v>129</v>
      </c>
      <c r="D659" t="s">
        <v>11</v>
      </c>
      <c r="E659">
        <v>8</v>
      </c>
      <c r="F659" t="s">
        <v>717</v>
      </c>
      <c r="G659" t="s">
        <v>26</v>
      </c>
      <c r="H659">
        <v>85559</v>
      </c>
      <c r="I659">
        <v>55000</v>
      </c>
      <c r="J659">
        <v>96</v>
      </c>
      <c r="K659" t="str" cm="1">
        <f t="array" ref="K659">_xlfn.IFS(Table1[[#This Row],[IMDB_Rating]]&gt;=9,"Masterpiece",Table1[[#This Row],[IMDB_Rating]]&gt;=8,"Excellent",Table1[[#This Row],[IMDB_Rating]]&gt;=7,"Good",Table1[[#This Row],[IMDB_Rating]]&lt;7,"Average")</f>
        <v>Excellent</v>
      </c>
    </row>
    <row r="660" spans="1:11" x14ac:dyDescent="0.35">
      <c r="A660" t="s">
        <v>2080</v>
      </c>
      <c r="B660">
        <v>2002</v>
      </c>
      <c r="C660">
        <v>129</v>
      </c>
      <c r="D660" t="s">
        <v>15</v>
      </c>
      <c r="E660">
        <v>7.6</v>
      </c>
      <c r="F660" t="s">
        <v>193</v>
      </c>
      <c r="G660" t="s">
        <v>69</v>
      </c>
      <c r="H660">
        <v>62659</v>
      </c>
      <c r="I660">
        <v>45289</v>
      </c>
      <c r="J660">
        <v>56</v>
      </c>
      <c r="K660" t="str" cm="1">
        <f t="array" ref="K660">_xlfn.IFS(Table1[[#This Row],[IMDB_Rating]]&gt;=9,"Masterpiece",Table1[[#This Row],[IMDB_Rating]]&gt;=8,"Excellent",Table1[[#This Row],[IMDB_Rating]]&gt;=7,"Good",Table1[[#This Row],[IMDB_Rating]]&lt;7,"Average")</f>
        <v>Good</v>
      </c>
    </row>
    <row r="661" spans="1:11" x14ac:dyDescent="0.35">
      <c r="A661" t="s">
        <v>562</v>
      </c>
      <c r="B661">
        <v>2011</v>
      </c>
      <c r="C661">
        <v>130</v>
      </c>
      <c r="D661" t="s">
        <v>74</v>
      </c>
      <c r="E661">
        <v>8.1</v>
      </c>
      <c r="F661" t="s">
        <v>563</v>
      </c>
      <c r="G661" t="s">
        <v>564</v>
      </c>
      <c r="H661">
        <v>764493</v>
      </c>
      <c r="I661">
        <v>381011219</v>
      </c>
      <c r="J661">
        <v>85</v>
      </c>
      <c r="K661" t="str" cm="1">
        <f t="array" ref="K661">_xlfn.IFS(Table1[[#This Row],[IMDB_Rating]]&gt;=9,"Masterpiece",Table1[[#This Row],[IMDB_Rating]]&gt;=8,"Excellent",Table1[[#This Row],[IMDB_Rating]]&gt;=7,"Good",Table1[[#This Row],[IMDB_Rating]]&lt;7,"Average")</f>
        <v>Excellent</v>
      </c>
    </row>
    <row r="662" spans="1:11" x14ac:dyDescent="0.35">
      <c r="A662" t="s">
        <v>1107</v>
      </c>
      <c r="B662">
        <v>2017</v>
      </c>
      <c r="C662">
        <v>130</v>
      </c>
      <c r="D662" t="s">
        <v>19</v>
      </c>
      <c r="E662">
        <v>7.9</v>
      </c>
      <c r="F662" t="s">
        <v>1101</v>
      </c>
      <c r="G662" t="s">
        <v>1108</v>
      </c>
      <c r="H662">
        <v>587775</v>
      </c>
      <c r="I662">
        <v>315058289</v>
      </c>
      <c r="J662">
        <v>74</v>
      </c>
      <c r="K662" t="str" cm="1">
        <f t="array" ref="K662">_xlfn.IFS(Table1[[#This Row],[IMDB_Rating]]&gt;=9,"Masterpiece",Table1[[#This Row],[IMDB_Rating]]&gt;=8,"Excellent",Table1[[#This Row],[IMDB_Rating]]&gt;=7,"Good",Table1[[#This Row],[IMDB_Rating]]&lt;7,"Average")</f>
        <v>Good</v>
      </c>
    </row>
    <row r="663" spans="1:11" x14ac:dyDescent="0.35">
      <c r="A663" t="s">
        <v>1999</v>
      </c>
      <c r="B663">
        <v>2014</v>
      </c>
      <c r="C663">
        <v>130</v>
      </c>
      <c r="D663" t="s">
        <v>19</v>
      </c>
      <c r="E663">
        <v>7.6</v>
      </c>
      <c r="F663" t="s">
        <v>2000</v>
      </c>
      <c r="G663" t="s">
        <v>2001</v>
      </c>
      <c r="H663">
        <v>411599</v>
      </c>
      <c r="I663">
        <v>208545589</v>
      </c>
      <c r="J663">
        <v>79</v>
      </c>
      <c r="K663" t="str" cm="1">
        <f t="array" ref="K663">_xlfn.IFS(Table1[[#This Row],[IMDB_Rating]]&gt;=9,"Masterpiece",Table1[[#This Row],[IMDB_Rating]]&gt;=8,"Excellent",Table1[[#This Row],[IMDB_Rating]]&gt;=7,"Good",Table1[[#This Row],[IMDB_Rating]]&lt;7,"Average")</f>
        <v>Good</v>
      </c>
    </row>
    <row r="664" spans="1:11" x14ac:dyDescent="0.35">
      <c r="A664" t="s">
        <v>1517</v>
      </c>
      <c r="B664">
        <v>1993</v>
      </c>
      <c r="C664">
        <v>130</v>
      </c>
      <c r="D664" t="s">
        <v>19</v>
      </c>
      <c r="E664">
        <v>7.8</v>
      </c>
      <c r="F664" t="s">
        <v>1518</v>
      </c>
      <c r="G664" t="s">
        <v>202</v>
      </c>
      <c r="H664">
        <v>267684</v>
      </c>
      <c r="I664">
        <v>183875760</v>
      </c>
      <c r="J664">
        <v>87</v>
      </c>
      <c r="K664" t="str" cm="1">
        <f t="array" ref="K664">_xlfn.IFS(Table1[[#This Row],[IMDB_Rating]]&gt;=9,"Masterpiece",Table1[[#This Row],[IMDB_Rating]]&gt;=8,"Excellent",Table1[[#This Row],[IMDB_Rating]]&gt;=7,"Good",Table1[[#This Row],[IMDB_Rating]]&lt;7,"Average")</f>
        <v>Good</v>
      </c>
    </row>
    <row r="665" spans="1:11" x14ac:dyDescent="0.35">
      <c r="A665" t="s">
        <v>1083</v>
      </c>
      <c r="B665">
        <v>2019</v>
      </c>
      <c r="C665">
        <v>130</v>
      </c>
      <c r="D665" t="s">
        <v>67</v>
      </c>
      <c r="E665">
        <v>7.9</v>
      </c>
      <c r="F665" t="s">
        <v>1084</v>
      </c>
      <c r="G665" t="s">
        <v>882</v>
      </c>
      <c r="H665">
        <v>454203</v>
      </c>
      <c r="I665">
        <v>165359751</v>
      </c>
      <c r="J665">
        <v>82</v>
      </c>
      <c r="K665" t="str" cm="1">
        <f t="array" ref="K665">_xlfn.IFS(Table1[[#This Row],[IMDB_Rating]]&gt;=9,"Masterpiece",Table1[[#This Row],[IMDB_Rating]]&gt;=8,"Excellent",Table1[[#This Row],[IMDB_Rating]]&gt;=7,"Good",Table1[[#This Row],[IMDB_Rating]]&lt;7,"Average")</f>
        <v>Good</v>
      </c>
    </row>
    <row r="666" spans="1:11" x14ac:dyDescent="0.35">
      <c r="A666" t="s">
        <v>421</v>
      </c>
      <c r="B666">
        <v>1992</v>
      </c>
      <c r="C666">
        <v>130</v>
      </c>
      <c r="D666" t="s">
        <v>11</v>
      </c>
      <c r="E666">
        <v>8.1999999999999993</v>
      </c>
      <c r="F666" t="s">
        <v>49</v>
      </c>
      <c r="G666" t="s">
        <v>49</v>
      </c>
      <c r="H666">
        <v>375935</v>
      </c>
      <c r="I666">
        <v>101157447</v>
      </c>
      <c r="J666">
        <v>85</v>
      </c>
      <c r="K666" t="str" cm="1">
        <f t="array" ref="K666">_xlfn.IFS(Table1[[#This Row],[IMDB_Rating]]&gt;=9,"Masterpiece",Table1[[#This Row],[IMDB_Rating]]&gt;=8,"Excellent",Table1[[#This Row],[IMDB_Rating]]&gt;=7,"Good",Table1[[#This Row],[IMDB_Rating]]&lt;7,"Average")</f>
        <v>Excellent</v>
      </c>
    </row>
    <row r="667" spans="1:11" x14ac:dyDescent="0.35">
      <c r="A667" t="s">
        <v>780</v>
      </c>
      <c r="B667">
        <v>2016</v>
      </c>
      <c r="C667">
        <v>130</v>
      </c>
      <c r="D667" t="s">
        <v>11</v>
      </c>
      <c r="E667">
        <v>8</v>
      </c>
      <c r="F667" t="s">
        <v>781</v>
      </c>
      <c r="G667" t="s">
        <v>408</v>
      </c>
      <c r="H667">
        <v>52897</v>
      </c>
      <c r="I667">
        <v>96927481</v>
      </c>
      <c r="K667" t="str" cm="1">
        <f t="array" ref="K66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68" spans="1:11" x14ac:dyDescent="0.35">
      <c r="A668" t="s">
        <v>334</v>
      </c>
      <c r="B668">
        <v>2018</v>
      </c>
      <c r="C668">
        <v>130</v>
      </c>
      <c r="D668" t="s">
        <v>34</v>
      </c>
      <c r="E668">
        <v>8.1999999999999993</v>
      </c>
      <c r="F668" t="s">
        <v>335</v>
      </c>
      <c r="G668" t="s">
        <v>336</v>
      </c>
      <c r="H668">
        <v>377884</v>
      </c>
      <c r="I668">
        <v>85080171</v>
      </c>
      <c r="J668">
        <v>69</v>
      </c>
      <c r="K668" t="str" cm="1">
        <f t="array" ref="K668">_xlfn.IFS(Table1[[#This Row],[IMDB_Rating]]&gt;=9,"Masterpiece",Table1[[#This Row],[IMDB_Rating]]&gt;=8,"Excellent",Table1[[#This Row],[IMDB_Rating]]&gt;=7,"Good",Table1[[#This Row],[IMDB_Rating]]&lt;7,"Average")</f>
        <v>Excellent</v>
      </c>
    </row>
    <row r="669" spans="1:11" x14ac:dyDescent="0.35">
      <c r="A669" t="s">
        <v>1852</v>
      </c>
      <c r="B669">
        <v>1991</v>
      </c>
      <c r="C669">
        <v>130</v>
      </c>
      <c r="D669" t="s">
        <v>11</v>
      </c>
      <c r="E669">
        <v>7.7</v>
      </c>
      <c r="F669" t="s">
        <v>1853</v>
      </c>
      <c r="G669" t="s">
        <v>1854</v>
      </c>
      <c r="H669">
        <v>66941</v>
      </c>
      <c r="I669">
        <v>82418501</v>
      </c>
      <c r="J669">
        <v>64</v>
      </c>
      <c r="K669" t="str" cm="1">
        <f t="array" ref="K669">_xlfn.IFS(Table1[[#This Row],[IMDB_Rating]]&gt;=9,"Masterpiece",Table1[[#This Row],[IMDB_Rating]]&gt;=8,"Excellent",Table1[[#This Row],[IMDB_Rating]]&gt;=7,"Good",Table1[[#This Row],[IMDB_Rating]]&lt;7,"Average")</f>
        <v>Good</v>
      </c>
    </row>
    <row r="670" spans="1:11" x14ac:dyDescent="0.35">
      <c r="A670" t="s">
        <v>100</v>
      </c>
      <c r="B670">
        <v>1946</v>
      </c>
      <c r="C670">
        <v>130</v>
      </c>
      <c r="D670" t="s">
        <v>11</v>
      </c>
      <c r="E670">
        <v>8.6</v>
      </c>
      <c r="F670" t="s">
        <v>101</v>
      </c>
      <c r="G670" t="s">
        <v>102</v>
      </c>
      <c r="H670">
        <v>405801</v>
      </c>
      <c r="I670">
        <v>82385199</v>
      </c>
      <c r="J670">
        <v>89</v>
      </c>
      <c r="K670" t="str" cm="1">
        <f t="array" ref="K67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71" spans="1:11" x14ac:dyDescent="0.35">
      <c r="A671" t="s">
        <v>1385</v>
      </c>
      <c r="B671">
        <v>2015</v>
      </c>
      <c r="C671">
        <v>130</v>
      </c>
      <c r="D671" t="s">
        <v>34</v>
      </c>
      <c r="E671">
        <v>7.8</v>
      </c>
      <c r="F671" t="s">
        <v>1386</v>
      </c>
      <c r="G671" t="s">
        <v>21</v>
      </c>
      <c r="H671">
        <v>362942</v>
      </c>
      <c r="I671">
        <v>70259870</v>
      </c>
      <c r="J671">
        <v>81</v>
      </c>
      <c r="K671" t="str" cm="1">
        <f t="array" ref="K671">_xlfn.IFS(Table1[[#This Row],[IMDB_Rating]]&gt;=9,"Masterpiece",Table1[[#This Row],[IMDB_Rating]]&gt;=8,"Excellent",Table1[[#This Row],[IMDB_Rating]]&gt;=7,"Good",Table1[[#This Row],[IMDB_Rating]]&lt;7,"Average")</f>
        <v>Good</v>
      </c>
    </row>
    <row r="672" spans="1:11" x14ac:dyDescent="0.35">
      <c r="A672" t="s">
        <v>1507</v>
      </c>
      <c r="B672">
        <v>1993</v>
      </c>
      <c r="C672">
        <v>130</v>
      </c>
      <c r="D672" t="s">
        <v>19</v>
      </c>
      <c r="E672">
        <v>7.8</v>
      </c>
      <c r="F672" t="s">
        <v>1508</v>
      </c>
      <c r="G672" t="s">
        <v>1509</v>
      </c>
      <c r="H672">
        <v>126871</v>
      </c>
      <c r="I672">
        <v>56505065</v>
      </c>
      <c r="J672">
        <v>50</v>
      </c>
      <c r="K672" t="str" cm="1">
        <f t="array" ref="K672">_xlfn.IFS(Table1[[#This Row],[IMDB_Rating]]&gt;=9,"Masterpiece",Table1[[#This Row],[IMDB_Rating]]&gt;=8,"Excellent",Table1[[#This Row],[IMDB_Rating]]&gt;=7,"Good",Table1[[#This Row],[IMDB_Rating]]&lt;7,"Average")</f>
        <v>Good</v>
      </c>
    </row>
    <row r="673" spans="1:11" x14ac:dyDescent="0.35">
      <c r="A673" t="s">
        <v>112</v>
      </c>
      <c r="B673">
        <v>2006</v>
      </c>
      <c r="C673">
        <v>130</v>
      </c>
      <c r="D673" t="s">
        <v>11</v>
      </c>
      <c r="E673">
        <v>8.5</v>
      </c>
      <c r="F673" t="s">
        <v>20</v>
      </c>
      <c r="G673" t="s">
        <v>21</v>
      </c>
      <c r="H673">
        <v>1190259</v>
      </c>
      <c r="I673">
        <v>53089891</v>
      </c>
      <c r="J673">
        <v>66</v>
      </c>
      <c r="K673" t="str" cm="1">
        <f t="array" ref="K6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74" spans="1:11" x14ac:dyDescent="0.35">
      <c r="A674" t="s">
        <v>490</v>
      </c>
      <c r="B674">
        <v>2016</v>
      </c>
      <c r="C674">
        <v>130</v>
      </c>
      <c r="D674" t="s">
        <v>80</v>
      </c>
      <c r="E674">
        <v>8.1</v>
      </c>
      <c r="F674" t="s">
        <v>491</v>
      </c>
      <c r="G674" t="s">
        <v>492</v>
      </c>
      <c r="H674">
        <v>47708</v>
      </c>
      <c r="I674">
        <v>37039721</v>
      </c>
      <c r="J674">
        <v>78</v>
      </c>
      <c r="K674" t="str" cm="1">
        <f t="array" ref="K674">_xlfn.IFS(Table1[[#This Row],[IMDB_Rating]]&gt;=9,"Masterpiece",Table1[[#This Row],[IMDB_Rating]]&gt;=8,"Excellent",Table1[[#This Row],[IMDB_Rating]]&gt;=7,"Good",Table1[[#This Row],[IMDB_Rating]]&lt;7,"Average")</f>
        <v>Excellent</v>
      </c>
    </row>
    <row r="675" spans="1:11" x14ac:dyDescent="0.35">
      <c r="A675" t="s">
        <v>986</v>
      </c>
      <c r="B675">
        <v>1979</v>
      </c>
      <c r="C675">
        <v>130</v>
      </c>
      <c r="D675" t="s">
        <v>67</v>
      </c>
      <c r="E675">
        <v>8</v>
      </c>
      <c r="F675" t="s">
        <v>987</v>
      </c>
      <c r="G675" t="s">
        <v>214</v>
      </c>
      <c r="H675">
        <v>65625</v>
      </c>
      <c r="I675">
        <v>30177511</v>
      </c>
      <c r="J675">
        <v>83</v>
      </c>
      <c r="K675" t="str" cm="1">
        <f t="array" ref="K675">_xlfn.IFS(Table1[[#This Row],[IMDB_Rating]]&gt;=9,"Masterpiece",Table1[[#This Row],[IMDB_Rating]]&gt;=8,"Excellent",Table1[[#This Row],[IMDB_Rating]]&gt;=7,"Good",Table1[[#This Row],[IMDB_Rating]]&lt;7,"Average")</f>
        <v>Excellent</v>
      </c>
    </row>
    <row r="676" spans="1:11" x14ac:dyDescent="0.35">
      <c r="A676" t="s">
        <v>1899</v>
      </c>
      <c r="B676">
        <v>1973</v>
      </c>
      <c r="C676">
        <v>130</v>
      </c>
      <c r="D676" t="s">
        <v>34</v>
      </c>
      <c r="E676">
        <v>7.7</v>
      </c>
      <c r="F676" t="s">
        <v>25</v>
      </c>
      <c r="G676" t="s">
        <v>23</v>
      </c>
      <c r="H676">
        <v>109941</v>
      </c>
      <c r="I676">
        <v>29800000</v>
      </c>
      <c r="J676">
        <v>87</v>
      </c>
      <c r="K676" t="str" cm="1">
        <f t="array" ref="K676">_xlfn.IFS(Table1[[#This Row],[IMDB_Rating]]&gt;=9,"Masterpiece",Table1[[#This Row],[IMDB_Rating]]&gt;=8,"Excellent",Table1[[#This Row],[IMDB_Rating]]&gt;=7,"Good",Table1[[#This Row],[IMDB_Rating]]&lt;7,"Average")</f>
        <v>Good</v>
      </c>
    </row>
    <row r="677" spans="1:11" x14ac:dyDescent="0.35">
      <c r="A677" t="s">
        <v>691</v>
      </c>
      <c r="B677">
        <v>1974</v>
      </c>
      <c r="C677">
        <v>130</v>
      </c>
      <c r="D677" t="s">
        <v>11</v>
      </c>
      <c r="E677">
        <v>8.1</v>
      </c>
      <c r="F677" t="s">
        <v>115</v>
      </c>
      <c r="G677" t="s">
        <v>62</v>
      </c>
      <c r="H677">
        <v>294230</v>
      </c>
      <c r="I677">
        <v>29000000</v>
      </c>
      <c r="J677">
        <v>92</v>
      </c>
      <c r="K677" t="str" cm="1">
        <f t="array" ref="K67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78" spans="1:11" x14ac:dyDescent="0.35">
      <c r="A678" t="s">
        <v>76</v>
      </c>
      <c r="B678">
        <v>2002</v>
      </c>
      <c r="C678">
        <v>130</v>
      </c>
      <c r="D678" t="s">
        <v>15</v>
      </c>
      <c r="E678">
        <v>8.6</v>
      </c>
      <c r="F678" t="s">
        <v>77</v>
      </c>
      <c r="G678" t="s">
        <v>78</v>
      </c>
      <c r="H678">
        <v>699256</v>
      </c>
      <c r="I678">
        <v>7563397</v>
      </c>
      <c r="J678">
        <v>79</v>
      </c>
      <c r="K678" t="str" cm="1">
        <f t="array" ref="K678">_xlfn.IFS(Table1[[#This Row],[IMDB_Rating]]&gt;=9,"Masterpiece",Table1[[#This Row],[IMDB_Rating]]&gt;=8,"Excellent",Table1[[#This Row],[IMDB_Rating]]&gt;=7,"Good",Table1[[#This Row],[IMDB_Rating]]&lt;7,"Average")</f>
        <v>Excellent</v>
      </c>
    </row>
    <row r="679" spans="1:11" x14ac:dyDescent="0.35">
      <c r="A679" t="s">
        <v>1868</v>
      </c>
      <c r="B679">
        <v>1986</v>
      </c>
      <c r="C679">
        <v>130</v>
      </c>
      <c r="D679" t="s">
        <v>15</v>
      </c>
      <c r="E679">
        <v>7.7</v>
      </c>
      <c r="F679" t="s">
        <v>1869</v>
      </c>
      <c r="G679" t="s">
        <v>1577</v>
      </c>
      <c r="H679">
        <v>102031</v>
      </c>
      <c r="I679">
        <v>7153487</v>
      </c>
      <c r="J679">
        <v>54</v>
      </c>
      <c r="K679" t="str" cm="1">
        <f t="array" ref="K679">_xlfn.IFS(Table1[[#This Row],[IMDB_Rating]]&gt;=9,"Masterpiece",Table1[[#This Row],[IMDB_Rating]]&gt;=8,"Excellent",Table1[[#This Row],[IMDB_Rating]]&gt;=7,"Good",Table1[[#This Row],[IMDB_Rating]]&lt;7,"Average")</f>
        <v>Good</v>
      </c>
    </row>
    <row r="680" spans="1:11" x14ac:dyDescent="0.35">
      <c r="A680" t="s">
        <v>751</v>
      </c>
      <c r="B680">
        <v>1940</v>
      </c>
      <c r="C680">
        <v>130</v>
      </c>
      <c r="D680" t="s">
        <v>11</v>
      </c>
      <c r="E680">
        <v>8.1</v>
      </c>
      <c r="F680" t="s">
        <v>146</v>
      </c>
      <c r="G680" t="s">
        <v>752</v>
      </c>
      <c r="H680">
        <v>123942</v>
      </c>
      <c r="I680">
        <v>4360000</v>
      </c>
      <c r="J680">
        <v>86</v>
      </c>
      <c r="K680" t="str" cm="1">
        <f t="array" ref="K68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81" spans="1:11" x14ac:dyDescent="0.35">
      <c r="A681" t="s">
        <v>565</v>
      </c>
      <c r="B681">
        <v>2008</v>
      </c>
      <c r="C681">
        <v>130</v>
      </c>
      <c r="D681" t="s">
        <v>11</v>
      </c>
      <c r="E681">
        <v>8.1</v>
      </c>
      <c r="F681" t="s">
        <v>566</v>
      </c>
      <c r="G681" t="s">
        <v>567</v>
      </c>
      <c r="H681">
        <v>48582</v>
      </c>
      <c r="I681">
        <v>1498210</v>
      </c>
      <c r="J681">
        <v>68</v>
      </c>
      <c r="K681" t="str" cm="1">
        <f t="array" ref="K681">_xlfn.IFS(Table1[[#This Row],[IMDB_Rating]]&gt;=9,"Masterpiece",Table1[[#This Row],[IMDB_Rating]]&gt;=8,"Excellent",Table1[[#This Row],[IMDB_Rating]]&gt;=7,"Good",Table1[[#This Row],[IMDB_Rating]]&lt;7,"Average")</f>
        <v>Excellent</v>
      </c>
    </row>
    <row r="682" spans="1:11" x14ac:dyDescent="0.35">
      <c r="A682" t="s">
        <v>1358</v>
      </c>
      <c r="B682">
        <v>2013</v>
      </c>
      <c r="C682">
        <v>130</v>
      </c>
      <c r="D682" t="s">
        <v>11</v>
      </c>
      <c r="E682">
        <v>7.8</v>
      </c>
      <c r="F682" t="s">
        <v>239</v>
      </c>
      <c r="G682" t="s">
        <v>1359</v>
      </c>
      <c r="H682">
        <v>45002</v>
      </c>
      <c r="I682">
        <v>1330596</v>
      </c>
      <c r="J682">
        <v>85</v>
      </c>
      <c r="K682" t="str" cm="1">
        <f t="array" ref="K682">_xlfn.IFS(Table1[[#This Row],[IMDB_Rating]]&gt;=9,"Masterpiece",Table1[[#This Row],[IMDB_Rating]]&gt;=8,"Excellent",Table1[[#This Row],[IMDB_Rating]]&gt;=7,"Good",Table1[[#This Row],[IMDB_Rating]]&lt;7,"Average")</f>
        <v>Good</v>
      </c>
    </row>
    <row r="683" spans="1:11" x14ac:dyDescent="0.35">
      <c r="A683" t="s">
        <v>1671</v>
      </c>
      <c r="B683">
        <v>2013</v>
      </c>
      <c r="C683">
        <v>130</v>
      </c>
      <c r="D683" t="s">
        <v>11</v>
      </c>
      <c r="E683">
        <v>7.7</v>
      </c>
      <c r="F683" t="s">
        <v>1672</v>
      </c>
      <c r="G683" t="s">
        <v>1673</v>
      </c>
      <c r="H683">
        <v>32628</v>
      </c>
      <c r="I683">
        <v>1122527</v>
      </c>
      <c r="J683">
        <v>40</v>
      </c>
      <c r="K683" t="str" cm="1">
        <f t="array" ref="K683">_xlfn.IFS(Table1[[#This Row],[IMDB_Rating]]&gt;=9,"Masterpiece",Table1[[#This Row],[IMDB_Rating]]&gt;=8,"Excellent",Table1[[#This Row],[IMDB_Rating]]&gt;=7,"Good",Table1[[#This Row],[IMDB_Rating]]&lt;7,"Average")</f>
        <v>Good</v>
      </c>
    </row>
    <row r="684" spans="1:11" x14ac:dyDescent="0.35">
      <c r="A684" t="s">
        <v>1015</v>
      </c>
      <c r="B684">
        <v>1966</v>
      </c>
      <c r="C684">
        <v>131</v>
      </c>
      <c r="D684" t="s">
        <v>11</v>
      </c>
      <c r="E684">
        <v>8</v>
      </c>
      <c r="F684" t="s">
        <v>1014</v>
      </c>
      <c r="G684" t="s">
        <v>1016</v>
      </c>
      <c r="H684">
        <v>68926</v>
      </c>
      <c r="I684">
        <v>839059631</v>
      </c>
      <c r="J684">
        <v>75</v>
      </c>
      <c r="K684" t="str" cm="1">
        <f t="array" ref="K6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685" spans="1:11" x14ac:dyDescent="0.35">
      <c r="A685" t="s">
        <v>286</v>
      </c>
      <c r="B685">
        <v>1983</v>
      </c>
      <c r="C685">
        <v>131</v>
      </c>
      <c r="D685" t="s">
        <v>19</v>
      </c>
      <c r="E685">
        <v>8.3000000000000007</v>
      </c>
      <c r="F685" t="s">
        <v>287</v>
      </c>
      <c r="G685" t="s">
        <v>59</v>
      </c>
      <c r="H685">
        <v>950470</v>
      </c>
      <c r="I685">
        <v>309125409</v>
      </c>
      <c r="J685">
        <v>58</v>
      </c>
      <c r="K685" t="str" cm="1">
        <f t="array" ref="K685">_xlfn.IFS(Table1[[#This Row],[IMDB_Rating]]&gt;=9,"Masterpiece",Table1[[#This Row],[IMDB_Rating]]&gt;=8,"Excellent",Table1[[#This Row],[IMDB_Rating]]&gt;=7,"Good",Table1[[#This Row],[IMDB_Rating]]&lt;7,"Average")</f>
        <v>Excellent</v>
      </c>
    </row>
    <row r="686" spans="1:11" x14ac:dyDescent="0.35">
      <c r="A686" t="s">
        <v>1701</v>
      </c>
      <c r="B686">
        <v>2011</v>
      </c>
      <c r="C686">
        <v>131</v>
      </c>
      <c r="D686" t="s">
        <v>19</v>
      </c>
      <c r="E686">
        <v>7.7</v>
      </c>
      <c r="F686" t="s">
        <v>1659</v>
      </c>
      <c r="G686" t="s">
        <v>1702</v>
      </c>
      <c r="H686">
        <v>645512</v>
      </c>
      <c r="I686">
        <v>146408305</v>
      </c>
      <c r="J686">
        <v>65</v>
      </c>
      <c r="K686" t="str" cm="1">
        <f t="array" ref="K686">_xlfn.IFS(Table1[[#This Row],[IMDB_Rating]]&gt;=9,"Masterpiece",Table1[[#This Row],[IMDB_Rating]]&gt;=8,"Excellent",Table1[[#This Row],[IMDB_Rating]]&gt;=7,"Good",Table1[[#This Row],[IMDB_Rating]]&lt;7,"Average")</f>
        <v>Good</v>
      </c>
    </row>
    <row r="687" spans="1:11" x14ac:dyDescent="0.35">
      <c r="A687" t="s">
        <v>736</v>
      </c>
      <c r="B687">
        <v>1953</v>
      </c>
      <c r="C687">
        <v>131</v>
      </c>
      <c r="D687" t="s">
        <v>74</v>
      </c>
      <c r="E687">
        <v>8.1</v>
      </c>
      <c r="F687" t="s">
        <v>737</v>
      </c>
      <c r="G687" t="s">
        <v>738</v>
      </c>
      <c r="H687">
        <v>54588</v>
      </c>
      <c r="I687">
        <v>124570860</v>
      </c>
      <c r="J687">
        <v>85</v>
      </c>
      <c r="K687" t="str" cm="1">
        <f t="array" ref="K68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88" spans="1:11" x14ac:dyDescent="0.35">
      <c r="A688" t="s">
        <v>1477</v>
      </c>
      <c r="B688">
        <v>2002</v>
      </c>
      <c r="C688">
        <v>131</v>
      </c>
      <c r="D688" t="s">
        <v>19</v>
      </c>
      <c r="E688">
        <v>7.8</v>
      </c>
      <c r="F688" t="s">
        <v>1478</v>
      </c>
      <c r="G688" t="s">
        <v>1479</v>
      </c>
      <c r="H688">
        <v>129022</v>
      </c>
      <c r="I688">
        <v>54234062</v>
      </c>
      <c r="J688">
        <v>61</v>
      </c>
      <c r="K688" t="str" cm="1">
        <f t="array" ref="K688">_xlfn.IFS(Table1[[#This Row],[IMDB_Rating]]&gt;=9,"Masterpiece",Table1[[#This Row],[IMDB_Rating]]&gt;=8,"Excellent",Table1[[#This Row],[IMDB_Rating]]&gt;=7,"Good",Table1[[#This Row],[IMDB_Rating]]&lt;7,"Average")</f>
        <v>Good</v>
      </c>
    </row>
    <row r="689" spans="1:11" x14ac:dyDescent="0.35">
      <c r="A689" t="s">
        <v>2099</v>
      </c>
      <c r="B689">
        <v>2001</v>
      </c>
      <c r="C689">
        <v>131</v>
      </c>
      <c r="D689" t="s">
        <v>11</v>
      </c>
      <c r="E689">
        <v>7.6</v>
      </c>
      <c r="F689" t="s">
        <v>1869</v>
      </c>
      <c r="G689" t="s">
        <v>2100</v>
      </c>
      <c r="H689">
        <v>243729</v>
      </c>
      <c r="I689">
        <v>51401758</v>
      </c>
      <c r="J689">
        <v>53</v>
      </c>
      <c r="K689" t="str" cm="1">
        <f t="array" ref="K689">_xlfn.IFS(Table1[[#This Row],[IMDB_Rating]]&gt;=9,"Masterpiece",Table1[[#This Row],[IMDB_Rating]]&gt;=8,"Excellent",Table1[[#This Row],[IMDB_Rating]]&gt;=7,"Good",Table1[[#This Row],[IMDB_Rating]]&lt;7,"Average")</f>
        <v>Good</v>
      </c>
    </row>
    <row r="690" spans="1:11" x14ac:dyDescent="0.35">
      <c r="A690" t="s">
        <v>241</v>
      </c>
      <c r="B690">
        <v>2010</v>
      </c>
      <c r="C690">
        <v>131</v>
      </c>
      <c r="D690" t="s">
        <v>11</v>
      </c>
      <c r="E690">
        <v>8.3000000000000007</v>
      </c>
      <c r="F690" t="s">
        <v>242</v>
      </c>
      <c r="G690" t="s">
        <v>243</v>
      </c>
      <c r="H690">
        <v>150023</v>
      </c>
      <c r="I690">
        <v>6857096</v>
      </c>
      <c r="J690">
        <v>80</v>
      </c>
      <c r="K690" t="str" cm="1">
        <f t="array" ref="K6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1" spans="1:11" x14ac:dyDescent="0.35">
      <c r="A691" t="s">
        <v>1379</v>
      </c>
      <c r="B691">
        <v>2013</v>
      </c>
      <c r="C691">
        <v>131</v>
      </c>
      <c r="D691" t="s">
        <v>15</v>
      </c>
      <c r="E691">
        <v>7.8</v>
      </c>
      <c r="F691" t="s">
        <v>136</v>
      </c>
      <c r="G691" t="s">
        <v>1380</v>
      </c>
      <c r="H691">
        <v>108399</v>
      </c>
      <c r="I691">
        <v>85433</v>
      </c>
      <c r="J691">
        <v>49</v>
      </c>
      <c r="K691" t="str" cm="1">
        <f t="array" ref="K691">_xlfn.IFS(Table1[[#This Row],[IMDB_Rating]]&gt;=9,"Masterpiece",Table1[[#This Row],[IMDB_Rating]]&gt;=8,"Excellent",Table1[[#This Row],[IMDB_Rating]]&gt;=7,"Good",Table1[[#This Row],[IMDB_Rating]]&lt;7,"Average")</f>
        <v>Good</v>
      </c>
    </row>
    <row r="692" spans="1:11" x14ac:dyDescent="0.35">
      <c r="A692" t="s">
        <v>597</v>
      </c>
      <c r="B692">
        <v>2003</v>
      </c>
      <c r="C692">
        <v>131</v>
      </c>
      <c r="D692" t="s">
        <v>15</v>
      </c>
      <c r="E692">
        <v>8.1</v>
      </c>
      <c r="F692" t="s">
        <v>68</v>
      </c>
      <c r="G692" t="s">
        <v>69</v>
      </c>
      <c r="H692">
        <v>139558</v>
      </c>
      <c r="I692">
        <v>14131</v>
      </c>
      <c r="J692">
        <v>82</v>
      </c>
      <c r="K692" t="str" cm="1">
        <f t="array" ref="K692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3" spans="1:11" x14ac:dyDescent="0.35">
      <c r="A693" t="s">
        <v>244</v>
      </c>
      <c r="B693">
        <v>2019</v>
      </c>
      <c r="C693">
        <v>132</v>
      </c>
      <c r="D693" t="s">
        <v>11</v>
      </c>
      <c r="E693">
        <v>8.3000000000000007</v>
      </c>
      <c r="F693" t="s">
        <v>245</v>
      </c>
      <c r="G693" t="s">
        <v>246</v>
      </c>
      <c r="H693">
        <v>33935</v>
      </c>
      <c r="I693">
        <v>846784112</v>
      </c>
      <c r="K693" t="str" cm="1">
        <f t="array" ref="K693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4" spans="1:11" x14ac:dyDescent="0.35">
      <c r="A694" t="s">
        <v>1119</v>
      </c>
      <c r="B694">
        <v>2014</v>
      </c>
      <c r="C694">
        <v>132</v>
      </c>
      <c r="D694" t="s">
        <v>19</v>
      </c>
      <c r="E694">
        <v>7.9</v>
      </c>
      <c r="F694" t="s">
        <v>124</v>
      </c>
      <c r="G694" t="s">
        <v>1120</v>
      </c>
      <c r="H694">
        <v>659763</v>
      </c>
      <c r="I694">
        <v>233921534</v>
      </c>
      <c r="J694">
        <v>75</v>
      </c>
      <c r="K694" t="str" cm="1">
        <f t="array" ref="K694">_xlfn.IFS(Table1[[#This Row],[IMDB_Rating]]&gt;=9,"Masterpiece",Table1[[#This Row],[IMDB_Rating]]&gt;=8,"Excellent",Table1[[#This Row],[IMDB_Rating]]&gt;=7,"Good",Table1[[#This Row],[IMDB_Rating]]&lt;7,"Average")</f>
        <v>Good</v>
      </c>
    </row>
    <row r="695" spans="1:11" x14ac:dyDescent="0.35">
      <c r="A695" t="s">
        <v>1695</v>
      </c>
      <c r="B695">
        <v>2013</v>
      </c>
      <c r="C695">
        <v>132</v>
      </c>
      <c r="D695" t="s">
        <v>19</v>
      </c>
      <c r="E695">
        <v>7.7</v>
      </c>
      <c r="F695" t="s">
        <v>1116</v>
      </c>
      <c r="G695" t="s">
        <v>1153</v>
      </c>
      <c r="H695">
        <v>463188</v>
      </c>
      <c r="I695">
        <v>228778661</v>
      </c>
      <c r="J695">
        <v>72</v>
      </c>
      <c r="K695" t="str" cm="1">
        <f t="array" ref="K695">_xlfn.IFS(Table1[[#This Row],[IMDB_Rating]]&gt;=9,"Masterpiece",Table1[[#This Row],[IMDB_Rating]]&gt;=8,"Excellent",Table1[[#This Row],[IMDB_Rating]]&gt;=7,"Good",Table1[[#This Row],[IMDB_Rating]]&lt;7,"Average")</f>
        <v>Good</v>
      </c>
    </row>
    <row r="696" spans="1:11" x14ac:dyDescent="0.35">
      <c r="A696" t="s">
        <v>585</v>
      </c>
      <c r="B696">
        <v>2004</v>
      </c>
      <c r="C696">
        <v>132</v>
      </c>
      <c r="D696" t="s">
        <v>11</v>
      </c>
      <c r="E696">
        <v>8.1</v>
      </c>
      <c r="F696" t="s">
        <v>49</v>
      </c>
      <c r="G696" t="s">
        <v>586</v>
      </c>
      <c r="H696">
        <v>635975</v>
      </c>
      <c r="I696">
        <v>100492203</v>
      </c>
      <c r="J696">
        <v>86</v>
      </c>
      <c r="K696" t="str" cm="1">
        <f t="array" ref="K696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7" spans="1:11" x14ac:dyDescent="0.35">
      <c r="A697" t="s">
        <v>428</v>
      </c>
      <c r="B697">
        <v>1988</v>
      </c>
      <c r="C697">
        <v>132</v>
      </c>
      <c r="D697" t="s">
        <v>19</v>
      </c>
      <c r="E697">
        <v>8.1999999999999993</v>
      </c>
      <c r="F697" t="s">
        <v>429</v>
      </c>
      <c r="G697" t="s">
        <v>430</v>
      </c>
      <c r="H697">
        <v>793164</v>
      </c>
      <c r="I697">
        <v>83008852</v>
      </c>
      <c r="J697">
        <v>72</v>
      </c>
      <c r="K697" t="str" cm="1">
        <f t="array" ref="K697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8" spans="1:11" x14ac:dyDescent="0.35">
      <c r="A698" t="s">
        <v>389</v>
      </c>
      <c r="B698">
        <v>2005</v>
      </c>
      <c r="C698">
        <v>132</v>
      </c>
      <c r="D698" t="s">
        <v>19</v>
      </c>
      <c r="E698">
        <v>8.1999999999999993</v>
      </c>
      <c r="F698" t="s">
        <v>390</v>
      </c>
      <c r="G698" t="s">
        <v>391</v>
      </c>
      <c r="H698">
        <v>1032749</v>
      </c>
      <c r="I698">
        <v>70511035</v>
      </c>
      <c r="J698">
        <v>62</v>
      </c>
      <c r="K698" t="str" cm="1">
        <f t="array" ref="K698">_xlfn.IFS(Table1[[#This Row],[IMDB_Rating]]&gt;=9,"Masterpiece",Table1[[#This Row],[IMDB_Rating]]&gt;=8,"Excellent",Table1[[#This Row],[IMDB_Rating]]&gt;=7,"Good",Table1[[#This Row],[IMDB_Rating]]&lt;7,"Average")</f>
        <v>Excellent</v>
      </c>
    </row>
    <row r="699" spans="1:11" x14ac:dyDescent="0.35">
      <c r="A699" t="s">
        <v>66</v>
      </c>
      <c r="B699">
        <v>2019</v>
      </c>
      <c r="C699">
        <v>132</v>
      </c>
      <c r="D699" t="s">
        <v>67</v>
      </c>
      <c r="E699">
        <v>8.6</v>
      </c>
      <c r="F699" t="s">
        <v>68</v>
      </c>
      <c r="G699" t="s">
        <v>69</v>
      </c>
      <c r="H699">
        <v>552778</v>
      </c>
      <c r="I699">
        <v>53367844</v>
      </c>
      <c r="J699">
        <v>96</v>
      </c>
      <c r="K699" t="str" cm="1">
        <f t="array" ref="K6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700" spans="1:11" x14ac:dyDescent="0.35">
      <c r="A700" t="s">
        <v>1778</v>
      </c>
      <c r="B700">
        <v>2001</v>
      </c>
      <c r="C700">
        <v>132</v>
      </c>
      <c r="D700" t="s">
        <v>11</v>
      </c>
      <c r="E700">
        <v>7.7</v>
      </c>
      <c r="F700" t="s">
        <v>1779</v>
      </c>
      <c r="G700" t="s">
        <v>578</v>
      </c>
      <c r="H700">
        <v>142863</v>
      </c>
      <c r="I700">
        <v>40311852</v>
      </c>
      <c r="J700">
        <v>28</v>
      </c>
      <c r="K700" t="str" cm="1">
        <f t="array" ref="K700">_xlfn.IFS(Table1[[#This Row],[IMDB_Rating]]&gt;=9,"Masterpiece",Table1[[#This Row],[IMDB_Rating]]&gt;=8,"Excellent",Table1[[#This Row],[IMDB_Rating]]&gt;=7,"Good",Table1[[#This Row],[IMDB_Rating]]&lt;7,"Average")</f>
        <v>Good</v>
      </c>
    </row>
    <row r="701" spans="1:11" x14ac:dyDescent="0.35">
      <c r="A701" t="s">
        <v>1093</v>
      </c>
      <c r="B701">
        <v>2017</v>
      </c>
      <c r="C701">
        <v>132</v>
      </c>
      <c r="D701" t="s">
        <v>11</v>
      </c>
      <c r="E701">
        <v>7.9</v>
      </c>
      <c r="F701" t="s">
        <v>1094</v>
      </c>
      <c r="G701" t="s">
        <v>1095</v>
      </c>
      <c r="H701">
        <v>212651</v>
      </c>
      <c r="I701">
        <v>18095701</v>
      </c>
      <c r="J701">
        <v>93</v>
      </c>
      <c r="K701" t="str" cm="1">
        <f t="array" ref="K701">_xlfn.IFS(Table1[[#This Row],[IMDB_Rating]]&gt;=9,"Masterpiece",Table1[[#This Row],[IMDB_Rating]]&gt;=8,"Excellent",Table1[[#This Row],[IMDB_Rating]]&gt;=7,"Good",Table1[[#This Row],[IMDB_Rating]]&lt;7,"Average")</f>
        <v>Good</v>
      </c>
    </row>
    <row r="702" spans="1:11" x14ac:dyDescent="0.35">
      <c r="A702" t="s">
        <v>299</v>
      </c>
      <c r="B702">
        <v>1965</v>
      </c>
      <c r="C702">
        <v>132</v>
      </c>
      <c r="D702" t="s">
        <v>47</v>
      </c>
      <c r="E702">
        <v>8.3000000000000007</v>
      </c>
      <c r="F702" t="s">
        <v>48</v>
      </c>
      <c r="G702" t="s">
        <v>49</v>
      </c>
      <c r="H702">
        <v>232772</v>
      </c>
      <c r="I702">
        <v>15000000</v>
      </c>
      <c r="J702">
        <v>74</v>
      </c>
      <c r="K702" t="str" cm="1">
        <f t="array" ref="K702">_xlfn.IFS(Table1[[#This Row],[IMDB_Rating]]&gt;=9,"Masterpiece",Table1[[#This Row],[IMDB_Rating]]&gt;=8,"Excellent",Table1[[#This Row],[IMDB_Rating]]&gt;=7,"Good",Table1[[#This Row],[IMDB_Rating]]&lt;7,"Average")</f>
        <v>Excellent</v>
      </c>
    </row>
    <row r="703" spans="1:11" x14ac:dyDescent="0.35">
      <c r="A703" t="s">
        <v>1232</v>
      </c>
      <c r="B703">
        <v>1985</v>
      </c>
      <c r="C703">
        <v>132</v>
      </c>
      <c r="D703" t="s">
        <v>11</v>
      </c>
      <c r="E703">
        <v>7.9</v>
      </c>
      <c r="F703" t="s">
        <v>446</v>
      </c>
      <c r="G703" t="s">
        <v>1233</v>
      </c>
      <c r="H703">
        <v>187567</v>
      </c>
      <c r="I703">
        <v>9929135</v>
      </c>
      <c r="J703">
        <v>84</v>
      </c>
      <c r="K703" t="str" cm="1">
        <f t="array" ref="K703">_xlfn.IFS(Table1[[#This Row],[IMDB_Rating]]&gt;=9,"Masterpiece",Table1[[#This Row],[IMDB_Rating]]&gt;=8,"Excellent",Table1[[#This Row],[IMDB_Rating]]&gt;=7,"Good",Table1[[#This Row],[IMDB_Rating]]&lt;7,"Average")</f>
        <v>Good</v>
      </c>
    </row>
    <row r="704" spans="1:11" x14ac:dyDescent="0.35">
      <c r="A704" t="s">
        <v>1515</v>
      </c>
      <c r="B704">
        <v>1993</v>
      </c>
      <c r="C704">
        <v>132</v>
      </c>
      <c r="D704" t="s">
        <v>67</v>
      </c>
      <c r="E704">
        <v>7.8</v>
      </c>
      <c r="F704" t="s">
        <v>938</v>
      </c>
      <c r="G704" t="s">
        <v>1516</v>
      </c>
      <c r="H704">
        <v>34635</v>
      </c>
      <c r="I704">
        <v>1769305</v>
      </c>
      <c r="J704">
        <v>84</v>
      </c>
      <c r="K704" t="str" cm="1">
        <f t="array" ref="K704">_xlfn.IFS(Table1[[#This Row],[IMDB_Rating]]&gt;=9,"Masterpiece",Table1[[#This Row],[IMDB_Rating]]&gt;=8,"Excellent",Table1[[#This Row],[IMDB_Rating]]&gt;=7,"Good",Table1[[#This Row],[IMDB_Rating]]&lt;7,"Average")</f>
        <v>Good</v>
      </c>
    </row>
    <row r="705" spans="1:11" x14ac:dyDescent="0.35">
      <c r="A705" t="s">
        <v>340</v>
      </c>
      <c r="B705">
        <v>2015</v>
      </c>
      <c r="C705">
        <v>132</v>
      </c>
      <c r="D705" t="s">
        <v>15</v>
      </c>
      <c r="E705">
        <v>8.1999999999999993</v>
      </c>
      <c r="F705" t="s">
        <v>341</v>
      </c>
      <c r="G705" t="s">
        <v>342</v>
      </c>
      <c r="H705">
        <v>31142</v>
      </c>
      <c r="I705">
        <v>342370</v>
      </c>
      <c r="K705" t="str" cm="1">
        <f t="array" ref="K705">_xlfn.IFS(Table1[[#This Row],[IMDB_Rating]]&gt;=9,"Masterpiece",Table1[[#This Row],[IMDB_Rating]]&gt;=8,"Excellent",Table1[[#This Row],[IMDB_Rating]]&gt;=7,"Good",Table1[[#This Row],[IMDB_Rating]]&lt;7,"Average")</f>
        <v>Excellent</v>
      </c>
    </row>
    <row r="706" spans="1:11" x14ac:dyDescent="0.35">
      <c r="A706" t="s">
        <v>1343</v>
      </c>
      <c r="B706">
        <v>2016</v>
      </c>
      <c r="C706">
        <v>133</v>
      </c>
      <c r="D706" t="s">
        <v>19</v>
      </c>
      <c r="E706">
        <v>7.8</v>
      </c>
      <c r="F706" t="s">
        <v>1344</v>
      </c>
      <c r="G706" t="s">
        <v>1345</v>
      </c>
      <c r="H706">
        <v>556608</v>
      </c>
      <c r="I706">
        <v>532177324</v>
      </c>
      <c r="J706">
        <v>65</v>
      </c>
      <c r="K706" t="str" cm="1">
        <f t="array" ref="K706">_xlfn.IFS(Table1[[#This Row],[IMDB_Rating]]&gt;=9,"Masterpiece",Table1[[#This Row],[IMDB_Rating]]&gt;=8,"Excellent",Table1[[#This Row],[IMDB_Rating]]&gt;=7,"Good",Table1[[#This Row],[IMDB_Rating]]&lt;7,"Average")</f>
        <v>Good</v>
      </c>
    </row>
    <row r="707" spans="1:11" x14ac:dyDescent="0.35">
      <c r="A707" t="s">
        <v>94</v>
      </c>
      <c r="B707">
        <v>1962</v>
      </c>
      <c r="C707">
        <v>133</v>
      </c>
      <c r="D707" t="s">
        <v>19</v>
      </c>
      <c r="E707">
        <v>8.6</v>
      </c>
      <c r="F707" t="s">
        <v>95</v>
      </c>
      <c r="G707" t="s">
        <v>96</v>
      </c>
      <c r="H707">
        <v>42004</v>
      </c>
      <c r="I707">
        <v>373978394</v>
      </c>
      <c r="J707">
        <v>85</v>
      </c>
      <c r="K707" t="str" cm="1">
        <f t="array" ref="K707">_xlfn.IFS(Table1[[#This Row],[IMDB_Rating]]&gt;=9,"Masterpiece",Table1[[#This Row],[IMDB_Rating]]&gt;=8,"Excellent",Table1[[#This Row],[IMDB_Rating]]&gt;=7,"Good",Table1[[#This Row],[IMDB_Rating]]&lt;7,"Average")</f>
        <v>Excellent</v>
      </c>
    </row>
    <row r="708" spans="1:11" x14ac:dyDescent="0.35">
      <c r="A708" t="s">
        <v>967</v>
      </c>
      <c r="B708">
        <v>1988</v>
      </c>
      <c r="C708">
        <v>133</v>
      </c>
      <c r="D708" t="s">
        <v>11</v>
      </c>
      <c r="E708">
        <v>8</v>
      </c>
      <c r="F708" t="s">
        <v>968</v>
      </c>
      <c r="G708" t="s">
        <v>969</v>
      </c>
      <c r="H708">
        <v>473064</v>
      </c>
      <c r="I708">
        <v>178800000</v>
      </c>
      <c r="J708">
        <v>65</v>
      </c>
      <c r="K708" t="str" cm="1">
        <f t="array" ref="K708">_xlfn.IFS(Table1[[#This Row],[IMDB_Rating]]&gt;=9,"Masterpiece",Table1[[#This Row],[IMDB_Rating]]&gt;=8,"Excellent",Table1[[#This Row],[IMDB_Rating]]&gt;=7,"Good",Table1[[#This Row],[IMDB_Rating]]&lt;7,"Average")</f>
        <v>Excellent</v>
      </c>
    </row>
    <row r="709" spans="1:11" x14ac:dyDescent="0.35">
      <c r="A709" t="s">
        <v>1612</v>
      </c>
      <c r="B709">
        <v>1948</v>
      </c>
      <c r="C709">
        <v>133</v>
      </c>
      <c r="D709" t="s">
        <v>19</v>
      </c>
      <c r="E709">
        <v>7.8</v>
      </c>
      <c r="F709" t="s">
        <v>1032</v>
      </c>
      <c r="G709" t="s">
        <v>1613</v>
      </c>
      <c r="H709">
        <v>28167</v>
      </c>
      <c r="I709">
        <v>116161549</v>
      </c>
      <c r="K709" t="str" cm="1">
        <f t="array" ref="K709">_xlfn.IFS(Table1[[#This Row],[IMDB_Rating]]&gt;=9,"Masterpiece",Table1[[#This Row],[IMDB_Rating]]&gt;=8,"Excellent",Table1[[#This Row],[IMDB_Rating]]&gt;=7,"Good",Table1[[#This Row],[IMDB_Rating]]&lt;7,"Average")</f>
        <v>Good</v>
      </c>
    </row>
    <row r="710" spans="1:11" x14ac:dyDescent="0.35">
      <c r="A710" t="s">
        <v>60</v>
      </c>
      <c r="B710">
        <v>1975</v>
      </c>
      <c r="C710">
        <v>133</v>
      </c>
      <c r="D710" t="s">
        <v>11</v>
      </c>
      <c r="E710">
        <v>8.6999999999999993</v>
      </c>
      <c r="F710" t="s">
        <v>61</v>
      </c>
      <c r="G710" t="s">
        <v>62</v>
      </c>
      <c r="H710">
        <v>918088</v>
      </c>
      <c r="I710">
        <v>112000000</v>
      </c>
      <c r="J710">
        <v>83</v>
      </c>
      <c r="K710" t="str" cm="1">
        <f t="array" ref="K710">_xlfn.IFS(Table1[[#This Row],[IMDB_Rating]]&gt;=9,"Masterpiece",Table1[[#This Row],[IMDB_Rating]]&gt;=8,"Excellent",Table1[[#This Row],[IMDB_Rating]]&gt;=7,"Good",Table1[[#This Row],[IMDB_Rating]]&lt;7,"Average")</f>
        <v>Excellent</v>
      </c>
    </row>
    <row r="711" spans="1:11" x14ac:dyDescent="0.35">
      <c r="A711" t="s">
        <v>1990</v>
      </c>
      <c r="B711">
        <v>2015</v>
      </c>
      <c r="C711">
        <v>133</v>
      </c>
      <c r="D711" t="s">
        <v>11</v>
      </c>
      <c r="E711">
        <v>7.6</v>
      </c>
      <c r="F711" t="s">
        <v>1991</v>
      </c>
      <c r="G711" t="s">
        <v>1967</v>
      </c>
      <c r="H711">
        <v>247666</v>
      </c>
      <c r="I711">
        <v>109767581</v>
      </c>
      <c r="J711">
        <v>82</v>
      </c>
      <c r="K711" t="str" cm="1">
        <f t="array" ref="K711">_xlfn.IFS(Table1[[#This Row],[IMDB_Rating]]&gt;=9,"Masterpiece",Table1[[#This Row],[IMDB_Rating]]&gt;=8,"Excellent",Table1[[#This Row],[IMDB_Rating]]&gt;=7,"Good",Table1[[#This Row],[IMDB_Rating]]&lt;7,"Average")</f>
        <v>Good</v>
      </c>
    </row>
    <row r="712" spans="1:11" x14ac:dyDescent="0.35">
      <c r="A712" t="s">
        <v>2025</v>
      </c>
      <c r="B712">
        <v>2011</v>
      </c>
      <c r="C712">
        <v>133</v>
      </c>
      <c r="D712" t="s">
        <v>34</v>
      </c>
      <c r="E712">
        <v>7.6</v>
      </c>
      <c r="F712" t="s">
        <v>2026</v>
      </c>
      <c r="G712" t="s">
        <v>41</v>
      </c>
      <c r="H712">
        <v>369529</v>
      </c>
      <c r="I712">
        <v>75605492</v>
      </c>
      <c r="J712">
        <v>87</v>
      </c>
      <c r="K712" t="str" cm="1">
        <f t="array" ref="K712">_xlfn.IFS(Table1[[#This Row],[IMDB_Rating]]&gt;=9,"Masterpiece",Table1[[#This Row],[IMDB_Rating]]&gt;=8,"Excellent",Table1[[#This Row],[IMDB_Rating]]&gt;=7,"Good",Table1[[#This Row],[IMDB_Rating]]&lt;7,"Average")</f>
        <v>Good</v>
      </c>
    </row>
    <row r="713" spans="1:11" x14ac:dyDescent="0.35">
      <c r="A713" t="s">
        <v>1238</v>
      </c>
      <c r="B713">
        <v>1980</v>
      </c>
      <c r="C713">
        <v>133</v>
      </c>
      <c r="D713" t="s">
        <v>19</v>
      </c>
      <c r="E713">
        <v>7.9</v>
      </c>
      <c r="F713" t="s">
        <v>1239</v>
      </c>
      <c r="G713" t="s">
        <v>1240</v>
      </c>
      <c r="H713">
        <v>183182</v>
      </c>
      <c r="I713">
        <v>57229890</v>
      </c>
      <c r="J713">
        <v>60</v>
      </c>
      <c r="K713" t="str" cm="1">
        <f t="array" ref="K713">_xlfn.IFS(Table1[[#This Row],[IMDB_Rating]]&gt;=9,"Masterpiece",Table1[[#This Row],[IMDB_Rating]]&gt;=8,"Excellent",Table1[[#This Row],[IMDB_Rating]]&gt;=7,"Good",Table1[[#This Row],[IMDB_Rating]]&lt;7,"Average")</f>
        <v>Good</v>
      </c>
    </row>
    <row r="714" spans="1:11" x14ac:dyDescent="0.35">
      <c r="A714" t="s">
        <v>643</v>
      </c>
      <c r="B714">
        <v>1993</v>
      </c>
      <c r="C714">
        <v>133</v>
      </c>
      <c r="D714" t="s">
        <v>34</v>
      </c>
      <c r="E714">
        <v>8.1</v>
      </c>
      <c r="F714" t="s">
        <v>644</v>
      </c>
      <c r="G714" t="s">
        <v>384</v>
      </c>
      <c r="H714">
        <v>156842</v>
      </c>
      <c r="I714">
        <v>25010410</v>
      </c>
      <c r="J714">
        <v>84</v>
      </c>
      <c r="K714" t="str" cm="1">
        <f t="array" ref="K714">_xlfn.IFS(Table1[[#This Row],[IMDB_Rating]]&gt;=9,"Masterpiece",Table1[[#This Row],[IMDB_Rating]]&gt;=8,"Excellent",Table1[[#This Row],[IMDB_Rating]]&gt;=7,"Good",Table1[[#This Row],[IMDB_Rating]]&lt;7,"Average")</f>
        <v>Excellent</v>
      </c>
    </row>
    <row r="715" spans="1:11" x14ac:dyDescent="0.35">
      <c r="A715" t="s">
        <v>2076</v>
      </c>
      <c r="B715">
        <v>2004</v>
      </c>
      <c r="C715">
        <v>133</v>
      </c>
      <c r="D715" t="s">
        <v>11</v>
      </c>
      <c r="E715">
        <v>7.6</v>
      </c>
      <c r="F715" t="s">
        <v>255</v>
      </c>
      <c r="G715" t="s">
        <v>256</v>
      </c>
      <c r="H715">
        <v>70925</v>
      </c>
      <c r="I715">
        <v>6167817</v>
      </c>
      <c r="J715">
        <v>76</v>
      </c>
      <c r="K715" t="str" cm="1">
        <f t="array" ref="K715">_xlfn.IFS(Table1[[#This Row],[IMDB_Rating]]&gt;=9,"Masterpiece",Table1[[#This Row],[IMDB_Rating]]&gt;=8,"Excellent",Table1[[#This Row],[IMDB_Rating]]&gt;=7,"Good",Table1[[#This Row],[IMDB_Rating]]&lt;7,"Average")</f>
        <v>Good</v>
      </c>
    </row>
    <row r="716" spans="1:11" x14ac:dyDescent="0.35">
      <c r="A716" t="s">
        <v>818</v>
      </c>
      <c r="B716">
        <v>2018</v>
      </c>
      <c r="C716">
        <v>134</v>
      </c>
      <c r="D716" t="s">
        <v>34</v>
      </c>
      <c r="E716">
        <v>8</v>
      </c>
      <c r="F716" t="s">
        <v>124</v>
      </c>
      <c r="G716" t="s">
        <v>819</v>
      </c>
      <c r="H716">
        <v>450349</v>
      </c>
      <c r="I716">
        <v>216428042</v>
      </c>
      <c r="J716">
        <v>49</v>
      </c>
      <c r="K716" t="str" cm="1">
        <f t="array" ref="K716">_xlfn.IFS(Table1[[#This Row],[IMDB_Rating]]&gt;=9,"Masterpiece",Table1[[#This Row],[IMDB_Rating]]&gt;=8,"Excellent",Table1[[#This Row],[IMDB_Rating]]&gt;=7,"Good",Table1[[#This Row],[IMDB_Rating]]&lt;7,"Average")</f>
        <v>Excellent</v>
      </c>
    </row>
    <row r="717" spans="1:11" x14ac:dyDescent="0.35">
      <c r="A717" t="s">
        <v>1394</v>
      </c>
      <c r="B717">
        <v>2013</v>
      </c>
      <c r="C717">
        <v>134</v>
      </c>
      <c r="D717" t="s">
        <v>74</v>
      </c>
      <c r="E717">
        <v>7.8</v>
      </c>
      <c r="F717" t="s">
        <v>865</v>
      </c>
      <c r="G717" t="s">
        <v>45</v>
      </c>
      <c r="H717">
        <v>421244</v>
      </c>
      <c r="I717">
        <v>107100855</v>
      </c>
      <c r="J717">
        <v>82</v>
      </c>
      <c r="K717" t="str" cm="1">
        <f t="array" ref="K717">_xlfn.IFS(Table1[[#This Row],[IMDB_Rating]]&gt;=9,"Masterpiece",Table1[[#This Row],[IMDB_Rating]]&gt;=8,"Excellent",Table1[[#This Row],[IMDB_Rating]]&gt;=7,"Good",Table1[[#This Row],[IMDB_Rating]]&lt;7,"Average")</f>
        <v>Good</v>
      </c>
    </row>
    <row r="718" spans="1:11" x14ac:dyDescent="0.35">
      <c r="A718" t="s">
        <v>1753</v>
      </c>
      <c r="B718">
        <v>2005</v>
      </c>
      <c r="C718">
        <v>134</v>
      </c>
      <c r="D718" t="s">
        <v>11</v>
      </c>
      <c r="E718">
        <v>7.7</v>
      </c>
      <c r="F718" t="s">
        <v>1165</v>
      </c>
      <c r="G718" t="s">
        <v>915</v>
      </c>
      <c r="H718">
        <v>323103</v>
      </c>
      <c r="I718">
        <v>83043761</v>
      </c>
      <c r="J718">
        <v>87</v>
      </c>
      <c r="K718" t="str" cm="1">
        <f t="array" ref="K718">_xlfn.IFS(Table1[[#This Row],[IMDB_Rating]]&gt;=9,"Masterpiece",Table1[[#This Row],[IMDB_Rating]]&gt;=8,"Excellent",Table1[[#This Row],[IMDB_Rating]]&gt;=7,"Good",Table1[[#This Row],[IMDB_Rating]]&lt;7,"Average")</f>
        <v>Good</v>
      </c>
    </row>
    <row r="719" spans="1:11" x14ac:dyDescent="0.35">
      <c r="A719" t="s">
        <v>537</v>
      </c>
      <c r="B719">
        <v>2013</v>
      </c>
      <c r="C719">
        <v>134</v>
      </c>
      <c r="D719" t="s">
        <v>34</v>
      </c>
      <c r="E719">
        <v>8.1</v>
      </c>
      <c r="F719" t="s">
        <v>450</v>
      </c>
      <c r="G719" t="s">
        <v>538</v>
      </c>
      <c r="H719">
        <v>640533</v>
      </c>
      <c r="I719">
        <v>56671993</v>
      </c>
      <c r="J719">
        <v>96</v>
      </c>
      <c r="K719" t="str" cm="1">
        <f t="array" ref="K719">_xlfn.IFS(Table1[[#This Row],[IMDB_Rating]]&gt;=9,"Masterpiece",Table1[[#This Row],[IMDB_Rating]]&gt;=8,"Excellent",Table1[[#This Row],[IMDB_Rating]]&gt;=7,"Good",Table1[[#This Row],[IMDB_Rating]]&lt;7,"Average")</f>
        <v>Excellent</v>
      </c>
    </row>
    <row r="720" spans="1:11" x14ac:dyDescent="0.35">
      <c r="A720" t="s">
        <v>1513</v>
      </c>
      <c r="B720">
        <v>1993</v>
      </c>
      <c r="C720">
        <v>134</v>
      </c>
      <c r="D720" t="s">
        <v>11</v>
      </c>
      <c r="E720">
        <v>7.8</v>
      </c>
      <c r="F720" t="s">
        <v>1514</v>
      </c>
      <c r="G720" t="s">
        <v>677</v>
      </c>
      <c r="H720">
        <v>66065</v>
      </c>
      <c r="I720">
        <v>22954968</v>
      </c>
      <c r="J720">
        <v>84</v>
      </c>
      <c r="K720" t="str" cm="1">
        <f t="array" ref="K720">_xlfn.IFS(Table1[[#This Row],[IMDB_Rating]]&gt;=9,"Masterpiece",Table1[[#This Row],[IMDB_Rating]]&gt;=8,"Excellent",Table1[[#This Row],[IMDB_Rating]]&gt;=7,"Good",Table1[[#This Row],[IMDB_Rating]]&lt;7,"Average")</f>
        <v>Good</v>
      </c>
    </row>
    <row r="721" spans="1:11" x14ac:dyDescent="0.35">
      <c r="A721" t="s">
        <v>1264</v>
      </c>
      <c r="B721">
        <v>1968</v>
      </c>
      <c r="C721">
        <v>134</v>
      </c>
      <c r="D721" t="s">
        <v>34</v>
      </c>
      <c r="E721">
        <v>7.9</v>
      </c>
      <c r="F721" t="s">
        <v>1265</v>
      </c>
      <c r="G721" t="s">
        <v>302</v>
      </c>
      <c r="H721">
        <v>29003</v>
      </c>
      <c r="I721">
        <v>22276975</v>
      </c>
      <c r="K721" t="str" cm="1">
        <f t="array" ref="K721">_xlfn.IFS(Table1[[#This Row],[IMDB_Rating]]&gt;=9,"Masterpiece",Table1[[#This Row],[IMDB_Rating]]&gt;=8,"Excellent",Table1[[#This Row],[IMDB_Rating]]&gt;=7,"Good",Table1[[#This Row],[IMDB_Rating]]&lt;7,"Average")</f>
        <v>Good</v>
      </c>
    </row>
    <row r="722" spans="1:11" x14ac:dyDescent="0.35">
      <c r="A722" t="s">
        <v>1982</v>
      </c>
      <c r="B722">
        <v>2017</v>
      </c>
      <c r="C722">
        <v>134</v>
      </c>
      <c r="D722" t="s">
        <v>19</v>
      </c>
      <c r="E722">
        <v>7.6</v>
      </c>
      <c r="F722" t="s">
        <v>1983</v>
      </c>
      <c r="G722" t="s">
        <v>1984</v>
      </c>
      <c r="H722">
        <v>58371</v>
      </c>
      <c r="I722">
        <v>18340051</v>
      </c>
      <c r="J722">
        <v>72</v>
      </c>
      <c r="K722" t="str" cm="1">
        <f t="array" ref="K722">_xlfn.IFS(Table1[[#This Row],[IMDB_Rating]]&gt;=9,"Masterpiece",Table1[[#This Row],[IMDB_Rating]]&gt;=8,"Excellent",Table1[[#This Row],[IMDB_Rating]]&gt;=7,"Good",Table1[[#This Row],[IMDB_Rating]]&lt;7,"Average")</f>
        <v>Good</v>
      </c>
    </row>
    <row r="723" spans="1:11" x14ac:dyDescent="0.35">
      <c r="A723" t="s">
        <v>1028</v>
      </c>
      <c r="B723">
        <v>1961</v>
      </c>
      <c r="C723">
        <v>134</v>
      </c>
      <c r="D723" t="s">
        <v>11</v>
      </c>
      <c r="E723">
        <v>8</v>
      </c>
      <c r="F723" t="s">
        <v>1029</v>
      </c>
      <c r="G723" t="s">
        <v>294</v>
      </c>
      <c r="H723">
        <v>75067</v>
      </c>
      <c r="I723">
        <v>8284000</v>
      </c>
      <c r="J723">
        <v>90</v>
      </c>
      <c r="K723" t="str" cm="1">
        <f t="array" ref="K723">_xlfn.IFS(Table1[[#This Row],[IMDB_Rating]]&gt;=9,"Masterpiece",Table1[[#This Row],[IMDB_Rating]]&gt;=8,"Excellent",Table1[[#This Row],[IMDB_Rating]]&gt;=7,"Good",Table1[[#This Row],[IMDB_Rating]]&lt;7,"Average")</f>
        <v>Excellent</v>
      </c>
    </row>
    <row r="724" spans="1:11" x14ac:dyDescent="0.35">
      <c r="A724" t="s">
        <v>713</v>
      </c>
      <c r="B724">
        <v>1962</v>
      </c>
      <c r="C724">
        <v>134</v>
      </c>
      <c r="D724" t="s">
        <v>11</v>
      </c>
      <c r="E724">
        <v>8.1</v>
      </c>
      <c r="F724" t="s">
        <v>714</v>
      </c>
      <c r="G724" t="s">
        <v>475</v>
      </c>
      <c r="H724">
        <v>50058</v>
      </c>
      <c r="I724">
        <v>4050000</v>
      </c>
      <c r="J724">
        <v>75</v>
      </c>
      <c r="K724" t="str" cm="1">
        <f t="array" ref="K724">_xlfn.IFS(Table1[[#This Row],[IMDB_Rating]]&gt;=9,"Masterpiece",Table1[[#This Row],[IMDB_Rating]]&gt;=8,"Excellent",Table1[[#This Row],[IMDB_Rating]]&gt;=7,"Good",Table1[[#This Row],[IMDB_Rating]]&lt;7,"Average")</f>
        <v>Excellent</v>
      </c>
    </row>
    <row r="725" spans="1:11" x14ac:dyDescent="0.35">
      <c r="A725" t="s">
        <v>2118</v>
      </c>
      <c r="B725">
        <v>1997</v>
      </c>
      <c r="C725">
        <v>134</v>
      </c>
      <c r="D725" t="s">
        <v>196</v>
      </c>
      <c r="E725">
        <v>7.6</v>
      </c>
      <c r="F725" t="s">
        <v>676</v>
      </c>
      <c r="G725" t="s">
        <v>2119</v>
      </c>
      <c r="H725">
        <v>131101</v>
      </c>
      <c r="I725">
        <v>3796699</v>
      </c>
      <c r="J725">
        <v>52</v>
      </c>
      <c r="K725" t="str" cm="1">
        <f t="array" ref="K725">_xlfn.IFS(Table1[[#This Row],[IMDB_Rating]]&gt;=9,"Masterpiece",Table1[[#This Row],[IMDB_Rating]]&gt;=8,"Excellent",Table1[[#This Row],[IMDB_Rating]]&gt;=7,"Good",Table1[[#This Row],[IMDB_Rating]]&lt;7,"Average")</f>
        <v>Good</v>
      </c>
    </row>
    <row r="726" spans="1:11" x14ac:dyDescent="0.35">
      <c r="A726" t="s">
        <v>1804</v>
      </c>
      <c r="B726">
        <v>1998</v>
      </c>
      <c r="C726">
        <v>134</v>
      </c>
      <c r="D726" t="s">
        <v>67</v>
      </c>
      <c r="E726">
        <v>7.7</v>
      </c>
      <c r="F726" t="s">
        <v>1805</v>
      </c>
      <c r="G726" t="s">
        <v>1806</v>
      </c>
      <c r="H726">
        <v>66408</v>
      </c>
      <c r="I726">
        <v>2807390</v>
      </c>
      <c r="J726">
        <v>81</v>
      </c>
      <c r="K726" t="str" cm="1">
        <f t="array" ref="K726">_xlfn.IFS(Table1[[#This Row],[IMDB_Rating]]&gt;=9,"Masterpiece",Table1[[#This Row],[IMDB_Rating]]&gt;=8,"Excellent",Table1[[#This Row],[IMDB_Rating]]&gt;=7,"Good",Table1[[#This Row],[IMDB_Rating]]&lt;7,"Average")</f>
        <v>Good</v>
      </c>
    </row>
    <row r="727" spans="1:11" x14ac:dyDescent="0.35">
      <c r="A727" t="s">
        <v>198</v>
      </c>
      <c r="B727">
        <v>1997</v>
      </c>
      <c r="C727">
        <v>134</v>
      </c>
      <c r="D727" t="s">
        <v>80</v>
      </c>
      <c r="E727">
        <v>8.4</v>
      </c>
      <c r="F727" t="s">
        <v>81</v>
      </c>
      <c r="G727" t="s">
        <v>199</v>
      </c>
      <c r="H727">
        <v>343171</v>
      </c>
      <c r="I727">
        <v>2375308</v>
      </c>
      <c r="J727">
        <v>76</v>
      </c>
      <c r="K727" t="str" cm="1">
        <f t="array" ref="K727">_xlfn.IFS(Table1[[#This Row],[IMDB_Rating]]&gt;=9,"Masterpiece",Table1[[#This Row],[IMDB_Rating]]&gt;=8,"Excellent",Table1[[#This Row],[IMDB_Rating]]&gt;=7,"Good",Table1[[#This Row],[IMDB_Rating]]&lt;7,"Average")</f>
        <v>Excellent</v>
      </c>
    </row>
    <row r="728" spans="1:11" x14ac:dyDescent="0.35">
      <c r="A728" t="s">
        <v>1373</v>
      </c>
      <c r="B728">
        <v>2012</v>
      </c>
      <c r="C728">
        <v>134</v>
      </c>
      <c r="D728" t="s">
        <v>67</v>
      </c>
      <c r="E728">
        <v>7.8</v>
      </c>
      <c r="F728" t="s">
        <v>1374</v>
      </c>
      <c r="G728" t="s">
        <v>1375</v>
      </c>
      <c r="H728">
        <v>33618</v>
      </c>
      <c r="I728">
        <v>1670773</v>
      </c>
      <c r="K728" t="str" cm="1">
        <f t="array" ref="K728">_xlfn.IFS(Table1[[#This Row],[IMDB_Rating]]&gt;=9,"Masterpiece",Table1[[#This Row],[IMDB_Rating]]&gt;=8,"Excellent",Table1[[#This Row],[IMDB_Rating]]&gt;=7,"Good",Table1[[#This Row],[IMDB_Rating]]&lt;7,"Average")</f>
        <v>Good</v>
      </c>
    </row>
    <row r="729" spans="1:11" x14ac:dyDescent="0.35">
      <c r="A729" t="s">
        <v>363</v>
      </c>
      <c r="B729">
        <v>2010</v>
      </c>
      <c r="C729">
        <v>134</v>
      </c>
      <c r="D729" t="s">
        <v>11</v>
      </c>
      <c r="E729">
        <v>8.1999999999999993</v>
      </c>
      <c r="F729" t="s">
        <v>364</v>
      </c>
      <c r="G729" t="s">
        <v>365</v>
      </c>
      <c r="H729">
        <v>42341</v>
      </c>
      <c r="I729">
        <v>7461</v>
      </c>
      <c r="K729" t="str" cm="1">
        <f t="array" ref="K729">_xlfn.IFS(Table1[[#This Row],[IMDB_Rating]]&gt;=9,"Masterpiece",Table1[[#This Row],[IMDB_Rating]]&gt;=8,"Excellent",Table1[[#This Row],[IMDB_Rating]]&gt;=7,"Good",Table1[[#This Row],[IMDB_Rating]]&lt;7,"Average")</f>
        <v>Excellent</v>
      </c>
    </row>
    <row r="730" spans="1:11" x14ac:dyDescent="0.35">
      <c r="A730" t="s">
        <v>1633</v>
      </c>
      <c r="B730">
        <v>2018</v>
      </c>
      <c r="C730">
        <v>135</v>
      </c>
      <c r="D730" t="s">
        <v>11</v>
      </c>
      <c r="E730">
        <v>7.7</v>
      </c>
      <c r="F730" t="s">
        <v>1184</v>
      </c>
      <c r="G730" t="s">
        <v>1634</v>
      </c>
      <c r="H730">
        <v>140375</v>
      </c>
      <c r="I730">
        <v>557873261</v>
      </c>
      <c r="J730">
        <v>96</v>
      </c>
      <c r="K730" t="str" cm="1">
        <f t="array" ref="K730">_xlfn.IFS(Table1[[#This Row],[IMDB_Rating]]&gt;=9,"Masterpiece",Table1[[#This Row],[IMDB_Rating]]&gt;=8,"Excellent",Table1[[#This Row],[IMDB_Rating]]&gt;=7,"Good",Table1[[#This Row],[IMDB_Rating]]&lt;7,"Average")</f>
        <v>Good</v>
      </c>
    </row>
    <row r="731" spans="1:11" x14ac:dyDescent="0.35">
      <c r="A731" t="s">
        <v>404</v>
      </c>
      <c r="B731">
        <v>2001</v>
      </c>
      <c r="C731">
        <v>135</v>
      </c>
      <c r="D731" t="s">
        <v>34</v>
      </c>
      <c r="E731">
        <v>8.1999999999999993</v>
      </c>
      <c r="F731" t="s">
        <v>405</v>
      </c>
      <c r="G731" t="s">
        <v>119</v>
      </c>
      <c r="H731">
        <v>848920</v>
      </c>
      <c r="I731">
        <v>170742341</v>
      </c>
      <c r="J731">
        <v>72</v>
      </c>
      <c r="K731" t="str" cm="1">
        <f t="array" ref="K731">_xlfn.IFS(Table1[[#This Row],[IMDB_Rating]]&gt;=9,"Masterpiece",Table1[[#This Row],[IMDB_Rating]]&gt;=8,"Excellent",Table1[[#This Row],[IMDB_Rating]]&gt;=7,"Good",Table1[[#This Row],[IMDB_Rating]]&lt;7,"Average")</f>
        <v>Excellent</v>
      </c>
    </row>
    <row r="732" spans="1:11" x14ac:dyDescent="0.35">
      <c r="A732" t="s">
        <v>1349</v>
      </c>
      <c r="B732">
        <v>2019</v>
      </c>
      <c r="C732">
        <v>135</v>
      </c>
      <c r="D732" t="s">
        <v>11</v>
      </c>
      <c r="E732">
        <v>7.8</v>
      </c>
      <c r="F732" t="s">
        <v>1350</v>
      </c>
      <c r="G732" t="s">
        <v>1351</v>
      </c>
      <c r="H732">
        <v>143250</v>
      </c>
      <c r="I732">
        <v>108101214</v>
      </c>
      <c r="J732">
        <v>91</v>
      </c>
      <c r="K732" t="str" cm="1">
        <f t="array" ref="K732">_xlfn.IFS(Table1[[#This Row],[IMDB_Rating]]&gt;=9,"Masterpiece",Table1[[#This Row],[IMDB_Rating]]&gt;=8,"Excellent",Table1[[#This Row],[IMDB_Rating]]&gt;=7,"Good",Table1[[#This Row],[IMDB_Rating]]&lt;7,"Average")</f>
        <v>Good</v>
      </c>
    </row>
    <row r="733" spans="1:11" x14ac:dyDescent="0.35">
      <c r="A733" t="s">
        <v>2124</v>
      </c>
      <c r="B733">
        <v>1995</v>
      </c>
      <c r="C733">
        <v>135</v>
      </c>
      <c r="D733" t="s">
        <v>11</v>
      </c>
      <c r="E733">
        <v>7.6</v>
      </c>
      <c r="F733" t="s">
        <v>49</v>
      </c>
      <c r="G733" t="s">
        <v>49</v>
      </c>
      <c r="H733">
        <v>73172</v>
      </c>
      <c r="I733">
        <v>71516617</v>
      </c>
      <c r="J733">
        <v>69</v>
      </c>
      <c r="K733" t="str" cm="1">
        <f t="array" ref="K733">_xlfn.IFS(Table1[[#This Row],[IMDB_Rating]]&gt;=9,"Masterpiece",Table1[[#This Row],[IMDB_Rating]]&gt;=8,"Excellent",Table1[[#This Row],[IMDB_Rating]]&gt;=7,"Good",Table1[[#This Row],[IMDB_Rating]]&lt;7,"Average")</f>
        <v>Good</v>
      </c>
    </row>
    <row r="734" spans="1:11" x14ac:dyDescent="0.35">
      <c r="A734" t="s">
        <v>1575</v>
      </c>
      <c r="B734">
        <v>1976</v>
      </c>
      <c r="C734">
        <v>135</v>
      </c>
      <c r="D734" t="s">
        <v>47</v>
      </c>
      <c r="E734">
        <v>7.8</v>
      </c>
      <c r="F734" t="s">
        <v>49</v>
      </c>
      <c r="G734" t="s">
        <v>49</v>
      </c>
      <c r="H734">
        <v>65659</v>
      </c>
      <c r="I734">
        <v>31800000</v>
      </c>
      <c r="J734">
        <v>69</v>
      </c>
      <c r="K734" t="str" cm="1">
        <f t="array" ref="K734">_xlfn.IFS(Table1[[#This Row],[IMDB_Rating]]&gt;=9,"Masterpiece",Table1[[#This Row],[IMDB_Rating]]&gt;=8,"Excellent",Table1[[#This Row],[IMDB_Rating]]&gt;=7,"Good",Table1[[#This Row],[IMDB_Rating]]&lt;7,"Average")</f>
        <v>Good</v>
      </c>
    </row>
    <row r="735" spans="1:11" x14ac:dyDescent="0.35">
      <c r="A735" t="s">
        <v>935</v>
      </c>
      <c r="B735">
        <v>1996</v>
      </c>
      <c r="C735">
        <v>135</v>
      </c>
      <c r="D735" t="s">
        <v>11</v>
      </c>
      <c r="E735">
        <v>8</v>
      </c>
      <c r="F735" t="s">
        <v>936</v>
      </c>
      <c r="G735" t="s">
        <v>936</v>
      </c>
      <c r="H735">
        <v>86838</v>
      </c>
      <c r="I735">
        <v>24475416</v>
      </c>
      <c r="J735">
        <v>84</v>
      </c>
      <c r="K735" t="str" cm="1">
        <f t="array" ref="K735">_xlfn.IFS(Table1[[#This Row],[IMDB_Rating]]&gt;=9,"Masterpiece",Table1[[#This Row],[IMDB_Rating]]&gt;=8,"Excellent",Table1[[#This Row],[IMDB_Rating]]&gt;=7,"Good",Table1[[#This Row],[IMDB_Rating]]&lt;7,"Average")</f>
        <v>Excellent</v>
      </c>
    </row>
    <row r="736" spans="1:11" x14ac:dyDescent="0.35">
      <c r="A736" t="s">
        <v>2083</v>
      </c>
      <c r="B736">
        <v>2002</v>
      </c>
      <c r="C736">
        <v>135</v>
      </c>
      <c r="D736" t="s">
        <v>11</v>
      </c>
      <c r="E736">
        <v>7.6</v>
      </c>
      <c r="F736" t="s">
        <v>965</v>
      </c>
      <c r="G736" t="s">
        <v>122</v>
      </c>
      <c r="H736">
        <v>169708</v>
      </c>
      <c r="I736">
        <v>13060843</v>
      </c>
      <c r="J736">
        <v>68</v>
      </c>
      <c r="K736" t="str" cm="1">
        <f t="array" ref="K736">_xlfn.IFS(Table1[[#This Row],[IMDB_Rating]]&gt;=9,"Masterpiece",Table1[[#This Row],[IMDB_Rating]]&gt;=8,"Excellent",Table1[[#This Row],[IMDB_Rating]]&gt;=7,"Good",Table1[[#This Row],[IMDB_Rating]]&lt;7,"Average")</f>
        <v>Good</v>
      </c>
    </row>
    <row r="737" spans="1:11" x14ac:dyDescent="0.35">
      <c r="A737" t="s">
        <v>746</v>
      </c>
      <c r="B737">
        <v>1948</v>
      </c>
      <c r="C737">
        <v>135</v>
      </c>
      <c r="D737" t="s">
        <v>11</v>
      </c>
      <c r="E737">
        <v>8.1</v>
      </c>
      <c r="F737" t="s">
        <v>747</v>
      </c>
      <c r="G737" t="s">
        <v>748</v>
      </c>
      <c r="H737">
        <v>30935</v>
      </c>
      <c r="I737">
        <v>10900000</v>
      </c>
      <c r="K737" t="str" cm="1">
        <f t="array" ref="K7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738" spans="1:11" x14ac:dyDescent="0.35">
      <c r="A738" t="s">
        <v>366</v>
      </c>
      <c r="B738">
        <v>2012</v>
      </c>
      <c r="C738">
        <v>135</v>
      </c>
      <c r="D738" t="s">
        <v>19</v>
      </c>
      <c r="E738">
        <v>8.1999999999999993</v>
      </c>
      <c r="F738" t="s">
        <v>367</v>
      </c>
      <c r="G738" t="s">
        <v>342</v>
      </c>
      <c r="H738">
        <v>33237</v>
      </c>
      <c r="I738">
        <v>39567</v>
      </c>
      <c r="K738" t="str" cm="1">
        <f t="array" ref="K738">_xlfn.IFS(Table1[[#This Row],[IMDB_Rating]]&gt;=9,"Masterpiece",Table1[[#This Row],[IMDB_Rating]]&gt;=8,"Excellent",Table1[[#This Row],[IMDB_Rating]]&gt;=7,"Good",Table1[[#This Row],[IMDB_Rating]]&lt;7,"Average")</f>
        <v>Excellent</v>
      </c>
    </row>
    <row r="739" spans="1:11" x14ac:dyDescent="0.35">
      <c r="A739" t="s">
        <v>1979</v>
      </c>
      <c r="B739">
        <v>2017</v>
      </c>
      <c r="C739">
        <v>136</v>
      </c>
      <c r="D739" t="s">
        <v>19</v>
      </c>
      <c r="E739">
        <v>7.6</v>
      </c>
      <c r="F739" t="s">
        <v>813</v>
      </c>
      <c r="G739" t="s">
        <v>814</v>
      </c>
      <c r="H739">
        <v>569974</v>
      </c>
      <c r="I739">
        <v>389813101</v>
      </c>
      <c r="J739">
        <v>67</v>
      </c>
      <c r="K739" t="str" cm="1">
        <f t="array" ref="K739">_xlfn.IFS(Table1[[#This Row],[IMDB_Rating]]&gt;=9,"Masterpiece",Table1[[#This Row],[IMDB_Rating]]&gt;=8,"Excellent",Table1[[#This Row],[IMDB_Rating]]&gt;=7,"Good",Table1[[#This Row],[IMDB_Rating]]&lt;7,"Average")</f>
        <v>Good</v>
      </c>
    </row>
    <row r="740" spans="1:11" x14ac:dyDescent="0.35">
      <c r="A740" t="s">
        <v>1677</v>
      </c>
      <c r="B740">
        <v>2014</v>
      </c>
      <c r="C740">
        <v>136</v>
      </c>
      <c r="D740" t="s">
        <v>19</v>
      </c>
      <c r="E740">
        <v>7.7</v>
      </c>
      <c r="F740" t="s">
        <v>173</v>
      </c>
      <c r="G740" t="s">
        <v>174</v>
      </c>
      <c r="H740">
        <v>736182</v>
      </c>
      <c r="I740">
        <v>259766572</v>
      </c>
      <c r="J740">
        <v>70</v>
      </c>
      <c r="K740" t="str" cm="1">
        <f t="array" ref="K740">_xlfn.IFS(Table1[[#This Row],[IMDB_Rating]]&gt;=9,"Masterpiece",Table1[[#This Row],[IMDB_Rating]]&gt;=8,"Excellent",Table1[[#This Row],[IMDB_Rating]]&gt;=7,"Good",Table1[[#This Row],[IMDB_Rating]]&lt;7,"Average")</f>
        <v>Good</v>
      </c>
    </row>
    <row r="741" spans="1:11" x14ac:dyDescent="0.35">
      <c r="A741" t="s">
        <v>2009</v>
      </c>
      <c r="B741">
        <v>2018</v>
      </c>
      <c r="C741">
        <v>136</v>
      </c>
      <c r="D741" t="s">
        <v>11</v>
      </c>
      <c r="E741">
        <v>7.6</v>
      </c>
      <c r="F741" t="s">
        <v>1707</v>
      </c>
      <c r="G741" t="s">
        <v>2010</v>
      </c>
      <c r="H741">
        <v>334312</v>
      </c>
      <c r="I741">
        <v>215288866</v>
      </c>
      <c r="J741">
        <v>88</v>
      </c>
      <c r="K741" t="str" cm="1">
        <f t="array" ref="K741">_xlfn.IFS(Table1[[#This Row],[IMDB_Rating]]&gt;=9,"Masterpiece",Table1[[#This Row],[IMDB_Rating]]&gt;=8,"Excellent",Table1[[#This Row],[IMDB_Rating]]&gt;=7,"Good",Table1[[#This Row],[IMDB_Rating]]&lt;7,"Average")</f>
        <v>Good</v>
      </c>
    </row>
    <row r="742" spans="1:11" x14ac:dyDescent="0.35">
      <c r="A742" t="s">
        <v>51</v>
      </c>
      <c r="B742">
        <v>1999</v>
      </c>
      <c r="C742">
        <v>136</v>
      </c>
      <c r="D742" t="s">
        <v>19</v>
      </c>
      <c r="E742">
        <v>8.6999999999999993</v>
      </c>
      <c r="F742" t="s">
        <v>52</v>
      </c>
      <c r="G742" t="s">
        <v>53</v>
      </c>
      <c r="H742">
        <v>1676426</v>
      </c>
      <c r="I742">
        <v>171479930</v>
      </c>
      <c r="J742">
        <v>73</v>
      </c>
      <c r="K742" t="str" cm="1">
        <f t="array" ref="K742">_xlfn.IFS(Table1[[#This Row],[IMDB_Rating]]&gt;=9,"Masterpiece",Table1[[#This Row],[IMDB_Rating]]&gt;=8,"Excellent",Table1[[#This Row],[IMDB_Rating]]&gt;=7,"Good",Table1[[#This Row],[IMDB_Rating]]&lt;7,"Average")</f>
        <v>Excellent</v>
      </c>
    </row>
    <row r="743" spans="1:11" x14ac:dyDescent="0.35">
      <c r="A743" t="s">
        <v>469</v>
      </c>
      <c r="B743">
        <v>1953</v>
      </c>
      <c r="C743">
        <v>136</v>
      </c>
      <c r="D743" t="s">
        <v>11</v>
      </c>
      <c r="E743">
        <v>8.1999999999999993</v>
      </c>
      <c r="F743" t="s">
        <v>470</v>
      </c>
      <c r="G743" t="s">
        <v>471</v>
      </c>
      <c r="H743">
        <v>53153</v>
      </c>
      <c r="I743">
        <v>129117599</v>
      </c>
      <c r="K743" t="str" cm="1">
        <f t="array" ref="K743">_xlfn.IFS(Table1[[#This Row],[IMDB_Rating]]&gt;=9,"Masterpiece",Table1[[#This Row],[IMDB_Rating]]&gt;=8,"Excellent",Table1[[#This Row],[IMDB_Rating]]&gt;=7,"Good",Table1[[#This Row],[IMDB_Rating]]&lt;7,"Average")</f>
        <v>Excellent</v>
      </c>
    </row>
    <row r="744" spans="1:11" x14ac:dyDescent="0.35">
      <c r="A744" t="s">
        <v>1460</v>
      </c>
      <c r="B744">
        <v>2005</v>
      </c>
      <c r="C744">
        <v>136</v>
      </c>
      <c r="D744" t="s">
        <v>34</v>
      </c>
      <c r="E744">
        <v>7.8</v>
      </c>
      <c r="F744" t="s">
        <v>505</v>
      </c>
      <c r="G744" t="s">
        <v>105</v>
      </c>
      <c r="H744">
        <v>234207</v>
      </c>
      <c r="I744">
        <v>119519402</v>
      </c>
      <c r="J744">
        <v>72</v>
      </c>
      <c r="K744" t="str" cm="1">
        <f t="array" ref="K744">_xlfn.IFS(Table1[[#This Row],[IMDB_Rating]]&gt;=9,"Masterpiece",Table1[[#This Row],[IMDB_Rating]]&gt;=8,"Excellent",Table1[[#This Row],[IMDB_Rating]]&gt;=7,"Good",Table1[[#This Row],[IMDB_Rating]]&lt;7,"Average")</f>
        <v>Good</v>
      </c>
    </row>
    <row r="745" spans="1:11" x14ac:dyDescent="0.35">
      <c r="A745" t="s">
        <v>2120</v>
      </c>
      <c r="B745">
        <v>1995</v>
      </c>
      <c r="C745">
        <v>136</v>
      </c>
      <c r="D745" t="s">
        <v>11</v>
      </c>
      <c r="E745">
        <v>7.6</v>
      </c>
      <c r="F745" t="s">
        <v>1165</v>
      </c>
      <c r="G745" t="s">
        <v>2121</v>
      </c>
      <c r="H745">
        <v>102598</v>
      </c>
      <c r="I745">
        <v>43182776</v>
      </c>
      <c r="J745">
        <v>84</v>
      </c>
      <c r="K745" t="str" cm="1">
        <f t="array" ref="K745">_xlfn.IFS(Table1[[#This Row],[IMDB_Rating]]&gt;=9,"Masterpiece",Table1[[#This Row],[IMDB_Rating]]&gt;=8,"Excellent",Table1[[#This Row],[IMDB_Rating]]&gt;=7,"Good",Table1[[#This Row],[IMDB_Rating]]&lt;7,"Average")</f>
        <v>Good</v>
      </c>
    </row>
    <row r="746" spans="1:11" x14ac:dyDescent="0.35">
      <c r="A746" t="s">
        <v>937</v>
      </c>
      <c r="B746">
        <v>1996</v>
      </c>
      <c r="C746">
        <v>136</v>
      </c>
      <c r="D746" t="s">
        <v>67</v>
      </c>
      <c r="E746">
        <v>8</v>
      </c>
      <c r="F746" t="s">
        <v>938</v>
      </c>
      <c r="G746" t="s">
        <v>939</v>
      </c>
      <c r="H746">
        <v>37564</v>
      </c>
      <c r="I746">
        <v>13417292</v>
      </c>
      <c r="J746">
        <v>91</v>
      </c>
      <c r="K746" t="str" cm="1">
        <f t="array" ref="K746">_xlfn.IFS(Table1[[#This Row],[IMDB_Rating]]&gt;=9,"Masterpiece",Table1[[#This Row],[IMDB_Rating]]&gt;=8,"Excellent",Table1[[#This Row],[IMDB_Rating]]&gt;=7,"Good",Table1[[#This Row],[IMDB_Rating]]&lt;7,"Average")</f>
        <v>Excellent</v>
      </c>
    </row>
    <row r="747" spans="1:11" x14ac:dyDescent="0.35">
      <c r="A747" t="s">
        <v>305</v>
      </c>
      <c r="B747">
        <v>1959</v>
      </c>
      <c r="C747">
        <v>136</v>
      </c>
      <c r="D747" t="s">
        <v>74</v>
      </c>
      <c r="E747">
        <v>8.3000000000000007</v>
      </c>
      <c r="F747" t="s">
        <v>146</v>
      </c>
      <c r="G747" t="s">
        <v>306</v>
      </c>
      <c r="H747">
        <v>299198</v>
      </c>
      <c r="I747">
        <v>13275000</v>
      </c>
      <c r="J747">
        <v>98</v>
      </c>
      <c r="K747" t="str" cm="1">
        <f t="array" ref="K7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748" spans="1:11" x14ac:dyDescent="0.35">
      <c r="A748" t="s">
        <v>295</v>
      </c>
      <c r="B748">
        <v>1971</v>
      </c>
      <c r="C748">
        <v>136</v>
      </c>
      <c r="D748" t="s">
        <v>15</v>
      </c>
      <c r="E748">
        <v>8.3000000000000007</v>
      </c>
      <c r="F748" t="s">
        <v>204</v>
      </c>
      <c r="G748" t="s">
        <v>296</v>
      </c>
      <c r="H748">
        <v>757904</v>
      </c>
      <c r="I748">
        <v>6207725</v>
      </c>
      <c r="J748">
        <v>77</v>
      </c>
      <c r="K748" t="str" cm="1">
        <f t="array" ref="K748">_xlfn.IFS(Table1[[#This Row],[IMDB_Rating]]&gt;=9,"Masterpiece",Table1[[#This Row],[IMDB_Rating]]&gt;=8,"Excellent",Table1[[#This Row],[IMDB_Rating]]&gt;=7,"Good",Table1[[#This Row],[IMDB_Rating]]&lt;7,"Average")</f>
        <v>Excellent</v>
      </c>
    </row>
    <row r="749" spans="1:11" x14ac:dyDescent="0.35">
      <c r="A749" t="s">
        <v>487</v>
      </c>
      <c r="B749">
        <v>2016</v>
      </c>
      <c r="C749">
        <v>136</v>
      </c>
      <c r="D749" t="s">
        <v>11</v>
      </c>
      <c r="E749">
        <v>8.1</v>
      </c>
      <c r="F749" t="s">
        <v>488</v>
      </c>
      <c r="G749" t="s">
        <v>489</v>
      </c>
      <c r="H749">
        <v>39216</v>
      </c>
      <c r="I749">
        <v>1241223</v>
      </c>
      <c r="K749" t="str" cm="1">
        <f t="array" ref="K749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0" spans="1:11" x14ac:dyDescent="0.35">
      <c r="A750" t="s">
        <v>905</v>
      </c>
      <c r="B750">
        <v>2001</v>
      </c>
      <c r="C750">
        <v>137</v>
      </c>
      <c r="D750" t="s">
        <v>67</v>
      </c>
      <c r="E750">
        <v>8</v>
      </c>
      <c r="F750" t="s">
        <v>906</v>
      </c>
      <c r="G750" t="s">
        <v>907</v>
      </c>
      <c r="H750">
        <v>45403</v>
      </c>
      <c r="I750">
        <v>772721890</v>
      </c>
      <c r="K750" t="str" cm="1">
        <f t="array" ref="K750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1" spans="1:11" x14ac:dyDescent="0.35">
      <c r="A751" t="s">
        <v>1010</v>
      </c>
      <c r="B751">
        <v>1968</v>
      </c>
      <c r="C751">
        <v>137</v>
      </c>
      <c r="D751" t="s">
        <v>11</v>
      </c>
      <c r="E751">
        <v>8</v>
      </c>
      <c r="F751" t="s">
        <v>115</v>
      </c>
      <c r="G751" t="s">
        <v>1011</v>
      </c>
      <c r="H751">
        <v>193674</v>
      </c>
      <c r="I751">
        <v>287621537</v>
      </c>
      <c r="J751">
        <v>96</v>
      </c>
      <c r="K751" t="str" cm="1">
        <f t="array" ref="K7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2" spans="1:11" x14ac:dyDescent="0.35">
      <c r="A752" t="s">
        <v>1966</v>
      </c>
      <c r="B752">
        <v>2019</v>
      </c>
      <c r="C752">
        <v>137</v>
      </c>
      <c r="D752" t="s">
        <v>34</v>
      </c>
      <c r="E752">
        <v>7.6</v>
      </c>
      <c r="F752" t="s">
        <v>805</v>
      </c>
      <c r="G752" t="s">
        <v>1967</v>
      </c>
      <c r="H752">
        <v>46739</v>
      </c>
      <c r="I752">
        <v>279498224</v>
      </c>
      <c r="J752">
        <v>68</v>
      </c>
      <c r="K752" t="str" cm="1">
        <f t="array" ref="K752">_xlfn.IFS(Table1[[#This Row],[IMDB_Rating]]&gt;=9,"Masterpiece",Table1[[#This Row],[IMDB_Rating]]&gt;=8,"Excellent",Table1[[#This Row],[IMDB_Rating]]&gt;=7,"Good",Table1[[#This Row],[IMDB_Rating]]&lt;7,"Average")</f>
        <v>Good</v>
      </c>
    </row>
    <row r="753" spans="1:11" x14ac:dyDescent="0.35">
      <c r="A753" t="s">
        <v>504</v>
      </c>
      <c r="B753">
        <v>2017</v>
      </c>
      <c r="C753">
        <v>137</v>
      </c>
      <c r="D753" t="s">
        <v>19</v>
      </c>
      <c r="E753">
        <v>8.1</v>
      </c>
      <c r="F753" t="s">
        <v>505</v>
      </c>
      <c r="G753" t="s">
        <v>506</v>
      </c>
      <c r="H753">
        <v>647884</v>
      </c>
      <c r="I753">
        <v>226277068</v>
      </c>
      <c r="J753">
        <v>77</v>
      </c>
      <c r="K753" t="str" cm="1">
        <f t="array" ref="K7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4" spans="1:11" x14ac:dyDescent="0.35">
      <c r="A754" t="s">
        <v>132</v>
      </c>
      <c r="B754">
        <v>1991</v>
      </c>
      <c r="C754">
        <v>137</v>
      </c>
      <c r="D754" t="s">
        <v>19</v>
      </c>
      <c r="E754">
        <v>8.5</v>
      </c>
      <c r="F754" t="s">
        <v>133</v>
      </c>
      <c r="G754" t="s">
        <v>134</v>
      </c>
      <c r="H754">
        <v>995506</v>
      </c>
      <c r="I754">
        <v>204843350</v>
      </c>
      <c r="J754">
        <v>75</v>
      </c>
      <c r="K754" t="str" cm="1">
        <f t="array" ref="K754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5" spans="1:11" x14ac:dyDescent="0.35">
      <c r="A755" t="s">
        <v>281</v>
      </c>
      <c r="B755">
        <v>1986</v>
      </c>
      <c r="C755">
        <v>137</v>
      </c>
      <c r="D755" t="s">
        <v>19</v>
      </c>
      <c r="E755">
        <v>8.3000000000000007</v>
      </c>
      <c r="F755" t="s">
        <v>133</v>
      </c>
      <c r="G755" t="s">
        <v>208</v>
      </c>
      <c r="H755">
        <v>652719</v>
      </c>
      <c r="I755">
        <v>85160248</v>
      </c>
      <c r="J755">
        <v>84</v>
      </c>
      <c r="K755" t="str" cm="1">
        <f t="array" ref="K7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6" spans="1:11" x14ac:dyDescent="0.35">
      <c r="A756" t="s">
        <v>883</v>
      </c>
      <c r="B756">
        <v>2004</v>
      </c>
      <c r="C756">
        <v>137</v>
      </c>
      <c r="D756" t="s">
        <v>19</v>
      </c>
      <c r="E756">
        <v>8</v>
      </c>
      <c r="F756" t="s">
        <v>31</v>
      </c>
      <c r="G756" t="s">
        <v>600</v>
      </c>
      <c r="H756">
        <v>683900</v>
      </c>
      <c r="I756">
        <v>66208183</v>
      </c>
      <c r="J756">
        <v>83</v>
      </c>
      <c r="K756" t="str" cm="1">
        <f t="array" ref="K7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7" spans="1:11" x14ac:dyDescent="0.35">
      <c r="A757" t="s">
        <v>1337</v>
      </c>
      <c r="B757">
        <v>2016</v>
      </c>
      <c r="C757">
        <v>137</v>
      </c>
      <c r="D757" t="s">
        <v>11</v>
      </c>
      <c r="E757">
        <v>7.8</v>
      </c>
      <c r="F757" t="s">
        <v>1338</v>
      </c>
      <c r="G757" t="s">
        <v>1339</v>
      </c>
      <c r="H757">
        <v>246963</v>
      </c>
      <c r="I757">
        <v>47695120</v>
      </c>
      <c r="J757">
        <v>96</v>
      </c>
      <c r="K757" t="str" cm="1">
        <f t="array" ref="K757">_xlfn.IFS(Table1[[#This Row],[IMDB_Rating]]&gt;=9,"Masterpiece",Table1[[#This Row],[IMDB_Rating]]&gt;=8,"Excellent",Table1[[#This Row],[IMDB_Rating]]&gt;=7,"Good",Table1[[#This Row],[IMDB_Rating]]&lt;7,"Average")</f>
        <v>Good</v>
      </c>
    </row>
    <row r="758" spans="1:11" x14ac:dyDescent="0.35">
      <c r="A758" t="s">
        <v>189</v>
      </c>
      <c r="B758">
        <v>2006</v>
      </c>
      <c r="C758">
        <v>137</v>
      </c>
      <c r="D758" t="s">
        <v>11</v>
      </c>
      <c r="E758">
        <v>8.4</v>
      </c>
      <c r="F758" t="s">
        <v>190</v>
      </c>
      <c r="G758" t="s">
        <v>191</v>
      </c>
      <c r="H758">
        <v>358685</v>
      </c>
      <c r="I758">
        <v>11286112</v>
      </c>
      <c r="J758">
        <v>89</v>
      </c>
      <c r="K758" t="str" cm="1">
        <f t="array" ref="K758">_xlfn.IFS(Table1[[#This Row],[IMDB_Rating]]&gt;=9,"Masterpiece",Table1[[#This Row],[IMDB_Rating]]&gt;=8,"Excellent",Table1[[#This Row],[IMDB_Rating]]&gt;=7,"Good",Table1[[#This Row],[IMDB_Rating]]&lt;7,"Average")</f>
        <v>Excellent</v>
      </c>
    </row>
    <row r="759" spans="1:11" x14ac:dyDescent="0.35">
      <c r="A759" t="s">
        <v>1090</v>
      </c>
      <c r="B759">
        <v>2019</v>
      </c>
      <c r="C759">
        <v>137</v>
      </c>
      <c r="D759" t="s">
        <v>67</v>
      </c>
      <c r="E759">
        <v>7.9</v>
      </c>
      <c r="F759" t="s">
        <v>1091</v>
      </c>
      <c r="G759" t="s">
        <v>1092</v>
      </c>
      <c r="H759">
        <v>246644</v>
      </c>
      <c r="I759">
        <v>2000000</v>
      </c>
      <c r="J759">
        <v>94</v>
      </c>
      <c r="K759" t="str" cm="1">
        <f t="array" ref="K759">_xlfn.IFS(Table1[[#This Row],[IMDB_Rating]]&gt;=9,"Masterpiece",Table1[[#This Row],[IMDB_Rating]]&gt;=8,"Excellent",Table1[[#This Row],[IMDB_Rating]]&gt;=7,"Good",Table1[[#This Row],[IMDB_Rating]]&lt;7,"Average")</f>
        <v>Good</v>
      </c>
    </row>
    <row r="760" spans="1:11" x14ac:dyDescent="0.35">
      <c r="A760" t="s">
        <v>796</v>
      </c>
      <c r="B760">
        <v>2013</v>
      </c>
      <c r="C760">
        <v>137</v>
      </c>
      <c r="D760" t="s">
        <v>80</v>
      </c>
      <c r="E760">
        <v>8</v>
      </c>
      <c r="F760" t="s">
        <v>139</v>
      </c>
      <c r="G760" t="s">
        <v>797</v>
      </c>
      <c r="H760">
        <v>38746</v>
      </c>
      <c r="I760">
        <v>1506975</v>
      </c>
      <c r="J760">
        <v>89</v>
      </c>
      <c r="K760" t="str" cm="1">
        <f t="array" ref="K7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761" spans="1:11" x14ac:dyDescent="0.35">
      <c r="A761" t="s">
        <v>1696</v>
      </c>
      <c r="B761">
        <v>2015</v>
      </c>
      <c r="C761">
        <v>137</v>
      </c>
      <c r="D761" t="s">
        <v>11</v>
      </c>
      <c r="E761">
        <v>7.7</v>
      </c>
      <c r="F761" t="s">
        <v>1697</v>
      </c>
      <c r="G761" t="s">
        <v>1698</v>
      </c>
      <c r="H761">
        <v>73964</v>
      </c>
      <c r="I761">
        <v>83861</v>
      </c>
      <c r="J761">
        <v>79</v>
      </c>
      <c r="K761" t="str" cm="1">
        <f t="array" ref="K761">_xlfn.IFS(Table1[[#This Row],[IMDB_Rating]]&gt;=9,"Masterpiece",Table1[[#This Row],[IMDB_Rating]]&gt;=8,"Excellent",Table1[[#This Row],[IMDB_Rating]]&gt;=7,"Good",Table1[[#This Row],[IMDB_Rating]]&lt;7,"Average")</f>
        <v>Good</v>
      </c>
    </row>
    <row r="762" spans="1:11" x14ac:dyDescent="0.35">
      <c r="A762" t="s">
        <v>1115</v>
      </c>
      <c r="B762">
        <v>2015</v>
      </c>
      <c r="C762">
        <v>138</v>
      </c>
      <c r="D762" t="s">
        <v>19</v>
      </c>
      <c r="E762">
        <v>7.9</v>
      </c>
      <c r="F762" t="s">
        <v>1116</v>
      </c>
      <c r="G762" t="s">
        <v>1117</v>
      </c>
      <c r="H762">
        <v>860823</v>
      </c>
      <c r="I762">
        <v>936662225</v>
      </c>
      <c r="J762">
        <v>80</v>
      </c>
      <c r="K762" t="str" cm="1">
        <f t="array" ref="K762">_xlfn.IFS(Table1[[#This Row],[IMDB_Rating]]&gt;=9,"Masterpiece",Table1[[#This Row],[IMDB_Rating]]&gt;=8,"Excellent",Table1[[#This Row],[IMDB_Rating]]&gt;=7,"Good",Table1[[#This Row],[IMDB_Rating]]&lt;7,"Average")</f>
        <v>Good</v>
      </c>
    </row>
    <row r="763" spans="1:11" x14ac:dyDescent="0.35">
      <c r="A763" t="s">
        <v>1313</v>
      </c>
      <c r="B763">
        <v>2018</v>
      </c>
      <c r="C763">
        <v>138</v>
      </c>
      <c r="D763" t="s">
        <v>19</v>
      </c>
      <c r="E763">
        <v>7.8</v>
      </c>
      <c r="F763" t="s">
        <v>341</v>
      </c>
      <c r="G763" t="s">
        <v>1314</v>
      </c>
      <c r="H763">
        <v>25344</v>
      </c>
      <c r="I763">
        <v>896910257</v>
      </c>
      <c r="K763" t="str" cm="1">
        <f t="array" ref="K763">_xlfn.IFS(Table1[[#This Row],[IMDB_Rating]]&gt;=9,"Masterpiece",Table1[[#This Row],[IMDB_Rating]]&gt;=8,"Excellent",Table1[[#This Row],[IMDB_Rating]]&gt;=7,"Good",Table1[[#This Row],[IMDB_Rating]]&lt;7,"Average")</f>
        <v>Good</v>
      </c>
    </row>
    <row r="764" spans="1:11" x14ac:dyDescent="0.35">
      <c r="A764" t="s">
        <v>1921</v>
      </c>
      <c r="B764">
        <v>1964</v>
      </c>
      <c r="C764">
        <v>138</v>
      </c>
      <c r="D764" t="s">
        <v>11</v>
      </c>
      <c r="E764">
        <v>7.7</v>
      </c>
      <c r="F764" t="s">
        <v>1922</v>
      </c>
      <c r="G764" t="s">
        <v>1923</v>
      </c>
      <c r="H764">
        <v>35999</v>
      </c>
      <c r="I764">
        <v>790226546</v>
      </c>
      <c r="J764">
        <v>77</v>
      </c>
      <c r="K764" t="str" cm="1">
        <f t="array" ref="K764">_xlfn.IFS(Table1[[#This Row],[IMDB_Rating]]&gt;=9,"Masterpiece",Table1[[#This Row],[IMDB_Rating]]&gt;=8,"Excellent",Table1[[#This Row],[IMDB_Rating]]&gt;=7,"Good",Table1[[#This Row],[IMDB_Rating]]&lt;7,"Average")</f>
        <v>Good</v>
      </c>
    </row>
    <row r="765" spans="1:11" x14ac:dyDescent="0.35">
      <c r="A765" t="s">
        <v>1973</v>
      </c>
      <c r="B765">
        <v>2015</v>
      </c>
      <c r="C765">
        <v>138</v>
      </c>
      <c r="D765" t="s">
        <v>15</v>
      </c>
      <c r="E765">
        <v>7.6</v>
      </c>
      <c r="F765" t="s">
        <v>1974</v>
      </c>
      <c r="G765" t="s">
        <v>1975</v>
      </c>
      <c r="H765">
        <v>52903</v>
      </c>
      <c r="I765">
        <v>718096942</v>
      </c>
      <c r="J765">
        <v>77</v>
      </c>
      <c r="K765" t="str" cm="1">
        <f t="array" ref="K765">_xlfn.IFS(Table1[[#This Row],[IMDB_Rating]]&gt;=9,"Masterpiece",Table1[[#This Row],[IMDB_Rating]]&gt;=8,"Excellent",Table1[[#This Row],[IMDB_Rating]]&gt;=7,"Good",Table1[[#This Row],[IMDB_Rating]]&lt;7,"Average")</f>
        <v>Good</v>
      </c>
    </row>
    <row r="766" spans="1:11" x14ac:dyDescent="0.35">
      <c r="A766" t="s">
        <v>1851</v>
      </c>
      <c r="B766">
        <v>1992</v>
      </c>
      <c r="C766">
        <v>138</v>
      </c>
      <c r="D766" t="s">
        <v>11</v>
      </c>
      <c r="E766">
        <v>7.7</v>
      </c>
      <c r="F766" t="s">
        <v>653</v>
      </c>
      <c r="G766" t="s">
        <v>917</v>
      </c>
      <c r="H766">
        <v>235388</v>
      </c>
      <c r="I766">
        <v>141340178</v>
      </c>
      <c r="J766">
        <v>62</v>
      </c>
      <c r="K766" t="str" cm="1">
        <f t="array" ref="K766">_xlfn.IFS(Table1[[#This Row],[IMDB_Rating]]&gt;=9,"Masterpiece",Table1[[#This Row],[IMDB_Rating]]&gt;=8,"Excellent",Table1[[#This Row],[IMDB_Rating]]&gt;=7,"Good",Table1[[#This Row],[IMDB_Rating]]&lt;7,"Average")</f>
        <v>Good</v>
      </c>
    </row>
    <row r="767" spans="1:11" x14ac:dyDescent="0.35">
      <c r="A767" t="s">
        <v>2167</v>
      </c>
      <c r="B767">
        <v>1977</v>
      </c>
      <c r="C767">
        <v>138</v>
      </c>
      <c r="D767" t="s">
        <v>11</v>
      </c>
      <c r="E767">
        <v>7.6</v>
      </c>
      <c r="F767" t="s">
        <v>35</v>
      </c>
      <c r="G767" t="s">
        <v>2168</v>
      </c>
      <c r="H767">
        <v>184966</v>
      </c>
      <c r="I767">
        <v>132088635</v>
      </c>
      <c r="J767">
        <v>90</v>
      </c>
      <c r="K767" t="str" cm="1">
        <f t="array" ref="K767">_xlfn.IFS(Table1[[#This Row],[IMDB_Rating]]&gt;=9,"Masterpiece",Table1[[#This Row],[IMDB_Rating]]&gt;=8,"Excellent",Table1[[#This Row],[IMDB_Rating]]&gt;=7,"Good",Table1[[#This Row],[IMDB_Rating]]&lt;7,"Average")</f>
        <v>Good</v>
      </c>
    </row>
    <row r="768" spans="1:11" x14ac:dyDescent="0.35">
      <c r="A768" t="s">
        <v>374</v>
      </c>
      <c r="B768">
        <v>2010</v>
      </c>
      <c r="C768">
        <v>138</v>
      </c>
      <c r="D768" t="s">
        <v>196</v>
      </c>
      <c r="E768">
        <v>8.1999999999999993</v>
      </c>
      <c r="F768" t="s">
        <v>55</v>
      </c>
      <c r="G768" t="s">
        <v>38</v>
      </c>
      <c r="H768">
        <v>1129894</v>
      </c>
      <c r="I768">
        <v>128012934</v>
      </c>
      <c r="J768">
        <v>63</v>
      </c>
      <c r="K768" t="str" cm="1">
        <f t="array" ref="K768">_xlfn.IFS(Table1[[#This Row],[IMDB_Rating]]&gt;=9,"Masterpiece",Table1[[#This Row],[IMDB_Rating]]&gt;=8,"Excellent",Table1[[#This Row],[IMDB_Rating]]&gt;=7,"Good",Table1[[#This Row],[IMDB_Rating]]&lt;7,"Average")</f>
        <v>Excellent</v>
      </c>
    </row>
    <row r="769" spans="1:11" x14ac:dyDescent="0.35">
      <c r="A769" t="s">
        <v>1182</v>
      </c>
      <c r="B769">
        <v>2003</v>
      </c>
      <c r="C769">
        <v>138</v>
      </c>
      <c r="D769" t="s">
        <v>15</v>
      </c>
      <c r="E769">
        <v>7.9</v>
      </c>
      <c r="F769" t="s">
        <v>49</v>
      </c>
      <c r="G769" t="s">
        <v>578</v>
      </c>
      <c r="H769">
        <v>419420</v>
      </c>
      <c r="I769">
        <v>90135191</v>
      </c>
      <c r="J769">
        <v>84</v>
      </c>
      <c r="K769" t="str" cm="1">
        <f t="array" ref="K769">_xlfn.IFS(Table1[[#This Row],[IMDB_Rating]]&gt;=9,"Masterpiece",Table1[[#This Row],[IMDB_Rating]]&gt;=8,"Excellent",Table1[[#This Row],[IMDB_Rating]]&gt;=7,"Good",Table1[[#This Row],[IMDB_Rating]]&lt;7,"Average")</f>
        <v>Good</v>
      </c>
    </row>
    <row r="770" spans="1:11" x14ac:dyDescent="0.35">
      <c r="A770" t="s">
        <v>1247</v>
      </c>
      <c r="B770">
        <v>1976</v>
      </c>
      <c r="C770">
        <v>138</v>
      </c>
      <c r="D770" t="s">
        <v>34</v>
      </c>
      <c r="E770">
        <v>7.9</v>
      </c>
      <c r="F770" t="s">
        <v>1248</v>
      </c>
      <c r="G770" t="s">
        <v>969</v>
      </c>
      <c r="H770">
        <v>103031</v>
      </c>
      <c r="I770">
        <v>70600000</v>
      </c>
      <c r="J770">
        <v>84</v>
      </c>
      <c r="K770" t="str" cm="1">
        <f t="array" ref="K770">_xlfn.IFS(Table1[[#This Row],[IMDB_Rating]]&gt;=9,"Masterpiece",Table1[[#This Row],[IMDB_Rating]]&gt;=8,"Excellent",Table1[[#This Row],[IMDB_Rating]]&gt;=7,"Good",Table1[[#This Row],[IMDB_Rating]]&lt;7,"Average")</f>
        <v>Good</v>
      </c>
    </row>
    <row r="771" spans="1:11" x14ac:dyDescent="0.35">
      <c r="A771" t="s">
        <v>411</v>
      </c>
      <c r="B771">
        <v>1997</v>
      </c>
      <c r="C771">
        <v>138</v>
      </c>
      <c r="D771" t="s">
        <v>15</v>
      </c>
      <c r="E771">
        <v>8.1999999999999993</v>
      </c>
      <c r="F771" t="s">
        <v>412</v>
      </c>
      <c r="G771" t="s">
        <v>125</v>
      </c>
      <c r="H771">
        <v>531967</v>
      </c>
      <c r="I771">
        <v>64616940</v>
      </c>
      <c r="J771">
        <v>90</v>
      </c>
      <c r="K771" t="str" cm="1">
        <f t="array" ref="K7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772" spans="1:11" x14ac:dyDescent="0.35">
      <c r="A772" t="s">
        <v>328</v>
      </c>
      <c r="B772">
        <v>2018</v>
      </c>
      <c r="C772">
        <v>138</v>
      </c>
      <c r="D772" t="s">
        <v>19</v>
      </c>
      <c r="E772">
        <v>8.1999999999999993</v>
      </c>
      <c r="F772" t="s">
        <v>329</v>
      </c>
      <c r="G772" t="s">
        <v>330</v>
      </c>
      <c r="H772">
        <v>43444</v>
      </c>
      <c r="I772">
        <v>4186168</v>
      </c>
      <c r="K772" t="str" cm="1">
        <f t="array" ref="K772">_xlfn.IFS(Table1[[#This Row],[IMDB_Rating]]&gt;=9,"Masterpiece",Table1[[#This Row],[IMDB_Rating]]&gt;=8,"Excellent",Table1[[#This Row],[IMDB_Rating]]&gt;=7,"Good",Table1[[#This Row],[IMDB_Rating]]&lt;7,"Average")</f>
        <v>Excellent</v>
      </c>
    </row>
    <row r="773" spans="1:11" x14ac:dyDescent="0.35">
      <c r="A773" t="s">
        <v>1000</v>
      </c>
      <c r="B773">
        <v>1972</v>
      </c>
      <c r="C773">
        <v>138</v>
      </c>
      <c r="D773" t="s">
        <v>196</v>
      </c>
      <c r="E773">
        <v>8</v>
      </c>
      <c r="F773" t="s">
        <v>474</v>
      </c>
      <c r="G773" t="s">
        <v>752</v>
      </c>
      <c r="H773">
        <v>44748</v>
      </c>
      <c r="I773">
        <v>4081254</v>
      </c>
      <c r="K773" t="str" cm="1">
        <f t="array" ref="K7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774" spans="1:11" x14ac:dyDescent="0.35">
      <c r="A774" t="s">
        <v>1145</v>
      </c>
      <c r="B774">
        <v>2007</v>
      </c>
      <c r="C774">
        <v>138</v>
      </c>
      <c r="D774" t="s">
        <v>67</v>
      </c>
      <c r="E774">
        <v>7.9</v>
      </c>
      <c r="F774" t="s">
        <v>1146</v>
      </c>
      <c r="G774" t="s">
        <v>503</v>
      </c>
      <c r="H774">
        <v>47720</v>
      </c>
      <c r="I774">
        <v>410800</v>
      </c>
      <c r="K774" t="str" cm="1">
        <f t="array" ref="K774">_xlfn.IFS(Table1[[#This Row],[IMDB_Rating]]&gt;=9,"Masterpiece",Table1[[#This Row],[IMDB_Rating]]&gt;=8,"Excellent",Table1[[#This Row],[IMDB_Rating]]&gt;=7,"Good",Table1[[#This Row],[IMDB_Rating]]&lt;7,"Average")</f>
        <v>Good</v>
      </c>
    </row>
    <row r="775" spans="1:11" x14ac:dyDescent="0.35">
      <c r="A775" t="s">
        <v>1023</v>
      </c>
      <c r="B775">
        <v>1963</v>
      </c>
      <c r="C775">
        <v>138</v>
      </c>
      <c r="D775" t="s">
        <v>11</v>
      </c>
      <c r="E775">
        <v>8</v>
      </c>
      <c r="F775" t="s">
        <v>730</v>
      </c>
      <c r="G775" t="s">
        <v>1024</v>
      </c>
      <c r="H775">
        <v>108844</v>
      </c>
      <c r="I775">
        <v>50690</v>
      </c>
      <c r="J775">
        <v>91</v>
      </c>
      <c r="K775" t="str" cm="1">
        <f t="array" ref="K775">_xlfn.IFS(Table1[[#This Row],[IMDB_Rating]]&gt;=9,"Masterpiece",Table1[[#This Row],[IMDB_Rating]]&gt;=8,"Excellent",Table1[[#This Row],[IMDB_Rating]]&gt;=7,"Good",Table1[[#This Row],[IMDB_Rating]]&lt;7,"Average")</f>
        <v>Excellent</v>
      </c>
    </row>
    <row r="776" spans="1:11" x14ac:dyDescent="0.35">
      <c r="A776" t="s">
        <v>473</v>
      </c>
      <c r="B776">
        <v>1950</v>
      </c>
      <c r="C776">
        <v>138</v>
      </c>
      <c r="D776" t="s">
        <v>11</v>
      </c>
      <c r="E776">
        <v>8.1999999999999993</v>
      </c>
      <c r="F776" t="s">
        <v>474</v>
      </c>
      <c r="G776" t="s">
        <v>475</v>
      </c>
      <c r="H776">
        <v>120539</v>
      </c>
      <c r="I776">
        <v>10177</v>
      </c>
      <c r="J776">
        <v>98</v>
      </c>
      <c r="K776" t="str" cm="1">
        <f t="array" ref="K776">_xlfn.IFS(Table1[[#This Row],[IMDB_Rating]]&gt;=9,"Masterpiece",Table1[[#This Row],[IMDB_Rating]]&gt;=8,"Excellent",Table1[[#This Row],[IMDB_Rating]]&gt;=7,"Good",Table1[[#This Row],[IMDB_Rating]]&lt;7,"Average")</f>
        <v>Excellent</v>
      </c>
    </row>
    <row r="777" spans="1:11" x14ac:dyDescent="0.35">
      <c r="A777" t="s">
        <v>728</v>
      </c>
      <c r="B777">
        <v>1958</v>
      </c>
      <c r="C777">
        <v>139</v>
      </c>
      <c r="D777" t="s">
        <v>74</v>
      </c>
      <c r="E777">
        <v>8.1</v>
      </c>
      <c r="F777" t="s">
        <v>98</v>
      </c>
      <c r="G777" t="s">
        <v>99</v>
      </c>
      <c r="H777">
        <v>34797</v>
      </c>
      <c r="I777">
        <v>443906080</v>
      </c>
      <c r="K777" t="str" cm="1">
        <f t="array" ref="K777">_xlfn.IFS(Table1[[#This Row],[IMDB_Rating]]&gt;=9,"Masterpiece",Table1[[#This Row],[IMDB_Rating]]&gt;=8,"Excellent",Table1[[#This Row],[IMDB_Rating]]&gt;=7,"Good",Table1[[#This Row],[IMDB_Rating]]&lt;7,"Average")</f>
        <v>Excellent</v>
      </c>
    </row>
    <row r="778" spans="1:11" x14ac:dyDescent="0.35">
      <c r="A778" t="s">
        <v>1815</v>
      </c>
      <c r="B778">
        <v>1997</v>
      </c>
      <c r="C778">
        <v>139</v>
      </c>
      <c r="D778" t="s">
        <v>67</v>
      </c>
      <c r="E778">
        <v>7.7</v>
      </c>
      <c r="F778" t="s">
        <v>1816</v>
      </c>
      <c r="G778" t="s">
        <v>62</v>
      </c>
      <c r="H778">
        <v>275755</v>
      </c>
      <c r="I778">
        <v>148478011</v>
      </c>
      <c r="J778">
        <v>67</v>
      </c>
      <c r="K778" t="str" cm="1">
        <f t="array" ref="K778">_xlfn.IFS(Table1[[#This Row],[IMDB_Rating]]&gt;=9,"Masterpiece",Table1[[#This Row],[IMDB_Rating]]&gt;=8,"Excellent",Table1[[#This Row],[IMDB_Rating]]&gt;=7,"Good",Table1[[#This Row],[IMDB_Rating]]&lt;7,"Average")</f>
        <v>Good</v>
      </c>
    </row>
    <row r="779" spans="1:11" x14ac:dyDescent="0.35">
      <c r="A779" t="s">
        <v>1600</v>
      </c>
      <c r="B779">
        <v>1964</v>
      </c>
      <c r="C779">
        <v>139</v>
      </c>
      <c r="D779" t="s">
        <v>67</v>
      </c>
      <c r="E779">
        <v>7.8</v>
      </c>
      <c r="F779" t="s">
        <v>1601</v>
      </c>
      <c r="G779" t="s">
        <v>1019</v>
      </c>
      <c r="H779">
        <v>158029</v>
      </c>
      <c r="I779">
        <v>102272727</v>
      </c>
      <c r="J779">
        <v>88</v>
      </c>
      <c r="K779" t="str" cm="1">
        <f t="array" ref="K779">_xlfn.IFS(Table1[[#This Row],[IMDB_Rating]]&gt;=9,"Masterpiece",Table1[[#This Row],[IMDB_Rating]]&gt;=8,"Excellent",Table1[[#This Row],[IMDB_Rating]]&gt;=7,"Good",Table1[[#This Row],[IMDB_Rating]]&lt;7,"Average")</f>
        <v>Good</v>
      </c>
    </row>
    <row r="780" spans="1:11" x14ac:dyDescent="0.35">
      <c r="A780" t="s">
        <v>530</v>
      </c>
      <c r="B780">
        <v>2016</v>
      </c>
      <c r="C780">
        <v>139</v>
      </c>
      <c r="D780" t="s">
        <v>34</v>
      </c>
      <c r="E780">
        <v>8.1</v>
      </c>
      <c r="F780" t="s">
        <v>273</v>
      </c>
      <c r="G780" t="s">
        <v>531</v>
      </c>
      <c r="H780">
        <v>435928</v>
      </c>
      <c r="I780">
        <v>67209615</v>
      </c>
      <c r="J780">
        <v>71</v>
      </c>
      <c r="K780" t="str" cm="1">
        <f t="array" ref="K780">_xlfn.IFS(Table1[[#This Row],[IMDB_Rating]]&gt;=9,"Masterpiece",Table1[[#This Row],[IMDB_Rating]]&gt;=8,"Excellent",Table1[[#This Row],[IMDB_Rating]]&gt;=7,"Good",Table1[[#This Row],[IMDB_Rating]]&lt;7,"Average")</f>
        <v>Excellent</v>
      </c>
    </row>
    <row r="781" spans="1:11" x14ac:dyDescent="0.35">
      <c r="A781" t="s">
        <v>1442</v>
      </c>
      <c r="B781">
        <v>2006</v>
      </c>
      <c r="C781">
        <v>139</v>
      </c>
      <c r="D781" t="s">
        <v>19</v>
      </c>
      <c r="E781">
        <v>7.8</v>
      </c>
      <c r="F781" t="s">
        <v>273</v>
      </c>
      <c r="G781" t="s">
        <v>1443</v>
      </c>
      <c r="H781">
        <v>291018</v>
      </c>
      <c r="I781">
        <v>50866635</v>
      </c>
      <c r="J781">
        <v>68</v>
      </c>
      <c r="K781" t="str" cm="1">
        <f t="array" ref="K781">_xlfn.IFS(Table1[[#This Row],[IMDB_Rating]]&gt;=9,"Masterpiece",Table1[[#This Row],[IMDB_Rating]]&gt;=8,"Excellent",Table1[[#This Row],[IMDB_Rating]]&gt;=7,"Good",Table1[[#This Row],[IMDB_Rating]]&lt;7,"Average")</f>
        <v>Good</v>
      </c>
    </row>
    <row r="782" spans="1:11" x14ac:dyDescent="0.35">
      <c r="A782" t="s">
        <v>39</v>
      </c>
      <c r="B782">
        <v>1999</v>
      </c>
      <c r="C782">
        <v>139</v>
      </c>
      <c r="D782" t="s">
        <v>11</v>
      </c>
      <c r="E782">
        <v>8.8000000000000007</v>
      </c>
      <c r="F782" t="s">
        <v>40</v>
      </c>
      <c r="G782" t="s">
        <v>41</v>
      </c>
      <c r="H782">
        <v>1854740</v>
      </c>
      <c r="I782">
        <v>37030102</v>
      </c>
      <c r="J782">
        <v>66</v>
      </c>
      <c r="K782" t="str" cm="1">
        <f t="array" ref="K782">_xlfn.IFS(Table1[[#This Row],[IMDB_Rating]]&gt;=9,"Masterpiece",Table1[[#This Row],[IMDB_Rating]]&gt;=8,"Excellent",Table1[[#This Row],[IMDB_Rating]]&gt;=7,"Good",Table1[[#This Row],[IMDB_Rating]]&lt;7,"Average")</f>
        <v>Excellent</v>
      </c>
    </row>
    <row r="783" spans="1:11" x14ac:dyDescent="0.35">
      <c r="A783" t="s">
        <v>498</v>
      </c>
      <c r="B783">
        <v>2014</v>
      </c>
      <c r="C783">
        <v>139</v>
      </c>
      <c r="D783" t="s">
        <v>11</v>
      </c>
      <c r="E783">
        <v>8.1</v>
      </c>
      <c r="F783" t="s">
        <v>499</v>
      </c>
      <c r="G783" t="s">
        <v>500</v>
      </c>
      <c r="H783">
        <v>50700</v>
      </c>
      <c r="I783">
        <v>3492754</v>
      </c>
      <c r="J783">
        <v>74</v>
      </c>
      <c r="K783" t="str" cm="1">
        <f t="array" ref="K783">_xlfn.IFS(Table1[[#This Row],[IMDB_Rating]]&gt;=9,"Masterpiece",Table1[[#This Row],[IMDB_Rating]]&gt;=8,"Excellent",Table1[[#This Row],[IMDB_Rating]]&gt;=7,"Good",Table1[[#This Row],[IMDB_Rating]]&lt;7,"Average")</f>
        <v>Excellent</v>
      </c>
    </row>
    <row r="784" spans="1:11" x14ac:dyDescent="0.35">
      <c r="A784" t="s">
        <v>229</v>
      </c>
      <c r="B784">
        <v>2018</v>
      </c>
      <c r="C784">
        <v>139</v>
      </c>
      <c r="D784" t="s">
        <v>15</v>
      </c>
      <c r="E784">
        <v>8.3000000000000007</v>
      </c>
      <c r="F784" t="s">
        <v>230</v>
      </c>
      <c r="G784" t="s">
        <v>231</v>
      </c>
      <c r="H784">
        <v>71875</v>
      </c>
      <c r="I784">
        <v>1373943</v>
      </c>
      <c r="K784" t="str" cm="1">
        <f t="array" ref="K7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785" spans="1:11" x14ac:dyDescent="0.35">
      <c r="A785" t="s">
        <v>396</v>
      </c>
      <c r="B785">
        <v>2005</v>
      </c>
      <c r="C785">
        <v>140</v>
      </c>
      <c r="D785" t="s">
        <v>19</v>
      </c>
      <c r="E785">
        <v>8.1999999999999993</v>
      </c>
      <c r="F785" t="s">
        <v>20</v>
      </c>
      <c r="G785" t="s">
        <v>21</v>
      </c>
      <c r="H785">
        <v>1308302</v>
      </c>
      <c r="I785">
        <v>206852432</v>
      </c>
      <c r="J785">
        <v>70</v>
      </c>
      <c r="K785" t="str" cm="1">
        <f t="array" ref="K785">_xlfn.IFS(Table1[[#This Row],[IMDB_Rating]]&gt;=9,"Masterpiece",Table1[[#This Row],[IMDB_Rating]]&gt;=8,"Excellent",Table1[[#This Row],[IMDB_Rating]]&gt;=7,"Good",Table1[[#This Row],[IMDB_Rating]]&lt;7,"Average")</f>
        <v>Excellent</v>
      </c>
    </row>
    <row r="786" spans="1:11" x14ac:dyDescent="0.35">
      <c r="A786" t="s">
        <v>2125</v>
      </c>
      <c r="B786" t="s">
        <v>2126</v>
      </c>
      <c r="C786">
        <v>140</v>
      </c>
      <c r="D786" t="s">
        <v>74</v>
      </c>
      <c r="E786">
        <v>7.6</v>
      </c>
      <c r="F786" t="s">
        <v>405</v>
      </c>
      <c r="G786" t="s">
        <v>45</v>
      </c>
      <c r="H786">
        <v>269197</v>
      </c>
      <c r="I786">
        <v>173837933</v>
      </c>
      <c r="J786">
        <v>77</v>
      </c>
      <c r="K786" t="str" cm="1">
        <f t="array" ref="K786">_xlfn.IFS(Table1[[#This Row],[IMDB_Rating]]&gt;=9,"Masterpiece",Table1[[#This Row],[IMDB_Rating]]&gt;=8,"Excellent",Table1[[#This Row],[IMDB_Rating]]&gt;=7,"Good",Table1[[#This Row],[IMDB_Rating]]&lt;7,"Average")</f>
        <v>Good</v>
      </c>
    </row>
    <row r="787" spans="1:11" x14ac:dyDescent="0.35">
      <c r="A787" t="s">
        <v>371</v>
      </c>
      <c r="B787">
        <v>2011</v>
      </c>
      <c r="C787">
        <v>140</v>
      </c>
      <c r="D787" t="s">
        <v>19</v>
      </c>
      <c r="E787">
        <v>8.1999999999999993</v>
      </c>
      <c r="F787" t="s">
        <v>372</v>
      </c>
      <c r="G787" t="s">
        <v>373</v>
      </c>
      <c r="H787">
        <v>435950</v>
      </c>
      <c r="I787">
        <v>13657115</v>
      </c>
      <c r="J787">
        <v>71</v>
      </c>
      <c r="K787" t="str" cm="1">
        <f t="array" ref="K787">_xlfn.IFS(Table1[[#This Row],[IMDB_Rating]]&gt;=9,"Masterpiece",Table1[[#This Row],[IMDB_Rating]]&gt;=8,"Excellent",Table1[[#This Row],[IMDB_Rating]]&gt;=7,"Good",Table1[[#This Row],[IMDB_Rating]]&lt;7,"Average")</f>
        <v>Excellent</v>
      </c>
    </row>
    <row r="788" spans="1:11" x14ac:dyDescent="0.35">
      <c r="A788" t="s">
        <v>2049</v>
      </c>
      <c r="B788">
        <v>2007</v>
      </c>
      <c r="C788">
        <v>140</v>
      </c>
      <c r="D788" t="s">
        <v>34</v>
      </c>
      <c r="E788">
        <v>7.6</v>
      </c>
      <c r="F788" t="s">
        <v>2050</v>
      </c>
      <c r="G788" t="s">
        <v>2051</v>
      </c>
      <c r="H788">
        <v>82781</v>
      </c>
      <c r="I788">
        <v>10301706</v>
      </c>
      <c r="J788">
        <v>66</v>
      </c>
      <c r="K788" t="str" cm="1">
        <f t="array" ref="K788">_xlfn.IFS(Table1[[#This Row],[IMDB_Rating]]&gt;=9,"Masterpiece",Table1[[#This Row],[IMDB_Rating]]&gt;=8,"Excellent",Table1[[#This Row],[IMDB_Rating]]&gt;=7,"Good",Table1[[#This Row],[IMDB_Rating]]&lt;7,"Average")</f>
        <v>Good</v>
      </c>
    </row>
    <row r="789" spans="1:11" x14ac:dyDescent="0.35">
      <c r="A789" t="s">
        <v>918</v>
      </c>
      <c r="B789">
        <v>2000</v>
      </c>
      <c r="C789">
        <v>140</v>
      </c>
      <c r="D789" t="s">
        <v>15</v>
      </c>
      <c r="E789">
        <v>8</v>
      </c>
      <c r="F789" t="s">
        <v>909</v>
      </c>
      <c r="G789" t="s">
        <v>919</v>
      </c>
      <c r="H789">
        <v>102285</v>
      </c>
      <c r="I789">
        <v>4184036</v>
      </c>
      <c r="J789">
        <v>61</v>
      </c>
      <c r="K789" t="str" cm="1">
        <f t="array" ref="K789">_xlfn.IFS(Table1[[#This Row],[IMDB_Rating]]&gt;=9,"Masterpiece",Table1[[#This Row],[IMDB_Rating]]&gt;=8,"Excellent",Table1[[#This Row],[IMDB_Rating]]&gt;=7,"Good",Table1[[#This Row],[IMDB_Rating]]&lt;7,"Average")</f>
        <v>Excellent</v>
      </c>
    </row>
    <row r="790" spans="1:11" x14ac:dyDescent="0.35">
      <c r="A790" t="s">
        <v>590</v>
      </c>
      <c r="B790">
        <v>2004</v>
      </c>
      <c r="C790">
        <v>140</v>
      </c>
      <c r="D790" t="s">
        <v>19</v>
      </c>
      <c r="E790">
        <v>8.1</v>
      </c>
      <c r="F790" t="s">
        <v>591</v>
      </c>
      <c r="G790" t="s">
        <v>592</v>
      </c>
      <c r="H790">
        <v>37820</v>
      </c>
      <c r="I790">
        <v>1111061</v>
      </c>
      <c r="J790">
        <v>64</v>
      </c>
      <c r="K790" t="str" cm="1">
        <f t="array" ref="K7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791" spans="1:11" x14ac:dyDescent="0.35">
      <c r="A791" t="s">
        <v>1992</v>
      </c>
      <c r="B791">
        <v>2014</v>
      </c>
      <c r="C791">
        <v>140</v>
      </c>
      <c r="D791" t="s">
        <v>15</v>
      </c>
      <c r="E791">
        <v>7.6</v>
      </c>
      <c r="F791" t="s">
        <v>885</v>
      </c>
      <c r="G791" t="s">
        <v>1993</v>
      </c>
      <c r="H791">
        <v>49397</v>
      </c>
      <c r="I791">
        <v>1092800</v>
      </c>
      <c r="J791">
        <v>92</v>
      </c>
      <c r="K791" t="str" cm="1">
        <f t="array" ref="K791">_xlfn.IFS(Table1[[#This Row],[IMDB_Rating]]&gt;=9,"Masterpiece",Table1[[#This Row],[IMDB_Rating]]&gt;=8,"Excellent",Table1[[#This Row],[IMDB_Rating]]&gt;=7,"Good",Table1[[#This Row],[IMDB_Rating]]&lt;7,"Average")</f>
        <v>Good</v>
      </c>
    </row>
    <row r="792" spans="1:11" x14ac:dyDescent="0.35">
      <c r="A792" t="s">
        <v>602</v>
      </c>
      <c r="B792">
        <v>2002</v>
      </c>
      <c r="C792">
        <v>141</v>
      </c>
      <c r="D792" t="s">
        <v>34</v>
      </c>
      <c r="E792">
        <v>8.1</v>
      </c>
      <c r="F792" t="s">
        <v>35</v>
      </c>
      <c r="G792" t="s">
        <v>38</v>
      </c>
      <c r="H792">
        <v>832846</v>
      </c>
      <c r="I792">
        <v>164615351</v>
      </c>
      <c r="J792">
        <v>75</v>
      </c>
      <c r="K792" t="str" cm="1">
        <f t="array" ref="K792">_xlfn.IFS(Table1[[#This Row],[IMDB_Rating]]&gt;=9,"Masterpiece",Table1[[#This Row],[IMDB_Rating]]&gt;=8,"Excellent",Table1[[#This Row],[IMDB_Rating]]&gt;=7,"Good",Table1[[#This Row],[IMDB_Rating]]&lt;7,"Average")</f>
        <v>Excellent</v>
      </c>
    </row>
    <row r="793" spans="1:11" x14ac:dyDescent="0.35">
      <c r="A793" t="s">
        <v>1719</v>
      </c>
      <c r="B793">
        <v>2008</v>
      </c>
      <c r="C793">
        <v>141</v>
      </c>
      <c r="D793" t="s">
        <v>34</v>
      </c>
      <c r="E793">
        <v>7.7</v>
      </c>
      <c r="F793" t="s">
        <v>49</v>
      </c>
      <c r="G793" t="s">
        <v>1720</v>
      </c>
      <c r="H793">
        <v>239203</v>
      </c>
      <c r="I793">
        <v>35739802</v>
      </c>
      <c r="J793">
        <v>63</v>
      </c>
      <c r="K793" t="str" cm="1">
        <f t="array" ref="K793">_xlfn.IFS(Table1[[#This Row],[IMDB_Rating]]&gt;=9,"Masterpiece",Table1[[#This Row],[IMDB_Rating]]&gt;=8,"Excellent",Table1[[#This Row],[IMDB_Rating]]&gt;=7,"Good",Table1[[#This Row],[IMDB_Rating]]&lt;7,"Average")</f>
        <v>Good</v>
      </c>
    </row>
    <row r="794" spans="1:11" x14ac:dyDescent="0.35">
      <c r="A794" t="s">
        <v>1559</v>
      </c>
      <c r="B794">
        <v>1984</v>
      </c>
      <c r="C794">
        <v>141</v>
      </c>
      <c r="D794" t="s">
        <v>34</v>
      </c>
      <c r="E794">
        <v>7.8</v>
      </c>
      <c r="F794" t="s">
        <v>1560</v>
      </c>
      <c r="G794" t="s">
        <v>1561</v>
      </c>
      <c r="H794">
        <v>51585</v>
      </c>
      <c r="I794">
        <v>34700291</v>
      </c>
      <c r="J794">
        <v>76</v>
      </c>
      <c r="K794" t="str" cm="1">
        <f t="array" ref="K794">_xlfn.IFS(Table1[[#This Row],[IMDB_Rating]]&gt;=9,"Masterpiece",Table1[[#This Row],[IMDB_Rating]]&gt;=8,"Excellent",Table1[[#This Row],[IMDB_Rating]]&gt;=7,"Good",Table1[[#This Row],[IMDB_Rating]]&lt;7,"Average")</f>
        <v>Good</v>
      </c>
    </row>
    <row r="795" spans="1:11" x14ac:dyDescent="0.35">
      <c r="A795" t="s">
        <v>1159</v>
      </c>
      <c r="B795">
        <v>2006</v>
      </c>
      <c r="C795">
        <v>141</v>
      </c>
      <c r="D795" t="s">
        <v>19</v>
      </c>
      <c r="E795">
        <v>7.9</v>
      </c>
      <c r="F795" t="s">
        <v>49</v>
      </c>
      <c r="G795" t="s">
        <v>1160</v>
      </c>
      <c r="H795">
        <v>154011</v>
      </c>
      <c r="I795">
        <v>13756082</v>
      </c>
      <c r="J795">
        <v>89</v>
      </c>
      <c r="K795" t="str" cm="1">
        <f t="array" ref="K795">_xlfn.IFS(Table1[[#This Row],[IMDB_Rating]]&gt;=9,"Masterpiece",Table1[[#This Row],[IMDB_Rating]]&gt;=8,"Excellent",Table1[[#This Row],[IMDB_Rating]]&gt;=7,"Good",Table1[[#This Row],[IMDB_Rating]]&lt;7,"Average")</f>
        <v>Good</v>
      </c>
    </row>
    <row r="796" spans="1:11" x14ac:dyDescent="0.35">
      <c r="A796" t="s">
        <v>1031</v>
      </c>
      <c r="B796">
        <v>1959</v>
      </c>
      <c r="C796">
        <v>141</v>
      </c>
      <c r="D796" t="s">
        <v>19</v>
      </c>
      <c r="E796">
        <v>8</v>
      </c>
      <c r="F796" t="s">
        <v>1032</v>
      </c>
      <c r="G796" t="s">
        <v>1033</v>
      </c>
      <c r="H796">
        <v>56305</v>
      </c>
      <c r="I796">
        <v>12535000</v>
      </c>
      <c r="J796">
        <v>93</v>
      </c>
      <c r="K796" t="str" cm="1">
        <f t="array" ref="K796">_xlfn.IFS(Table1[[#This Row],[IMDB_Rating]]&gt;=9,"Masterpiece",Table1[[#This Row],[IMDB_Rating]]&gt;=8,"Excellent",Table1[[#This Row],[IMDB_Rating]]&gt;=7,"Good",Table1[[#This Row],[IMDB_Rating]]&lt;7,"Average")</f>
        <v>Excellent</v>
      </c>
    </row>
    <row r="797" spans="1:11" x14ac:dyDescent="0.35">
      <c r="A797" t="s">
        <v>1360</v>
      </c>
      <c r="B797">
        <v>2013</v>
      </c>
      <c r="C797">
        <v>141</v>
      </c>
      <c r="D797" t="s">
        <v>11</v>
      </c>
      <c r="E797">
        <v>7.8</v>
      </c>
      <c r="F797" t="s">
        <v>1361</v>
      </c>
      <c r="G797" t="s">
        <v>1362</v>
      </c>
      <c r="H797">
        <v>81125</v>
      </c>
      <c r="I797">
        <v>2852400</v>
      </c>
      <c r="J797">
        <v>86</v>
      </c>
      <c r="K797" t="str" cm="1">
        <f t="array" ref="K797">_xlfn.IFS(Table1[[#This Row],[IMDB_Rating]]&gt;=9,"Masterpiece",Table1[[#This Row],[IMDB_Rating]]&gt;=8,"Excellent",Table1[[#This Row],[IMDB_Rating]]&gt;=7,"Good",Table1[[#This Row],[IMDB_Rating]]&lt;7,"Average")</f>
        <v>Good</v>
      </c>
    </row>
    <row r="798" spans="1:11" x14ac:dyDescent="0.35">
      <c r="A798" t="s">
        <v>1439</v>
      </c>
      <c r="B798">
        <v>2009</v>
      </c>
      <c r="C798">
        <v>141</v>
      </c>
      <c r="D798" t="s">
        <v>11</v>
      </c>
      <c r="E798">
        <v>7.8</v>
      </c>
      <c r="F798" t="s">
        <v>1440</v>
      </c>
      <c r="G798" t="s">
        <v>1441</v>
      </c>
      <c r="H798">
        <v>216421</v>
      </c>
      <c r="I798">
        <v>3600</v>
      </c>
      <c r="J798">
        <v>63</v>
      </c>
      <c r="K798" t="str" cm="1">
        <f t="array" ref="K798">_xlfn.IFS(Table1[[#This Row],[IMDB_Rating]]&gt;=9,"Masterpiece",Table1[[#This Row],[IMDB_Rating]]&gt;=8,"Excellent",Table1[[#This Row],[IMDB_Rating]]&gt;=7,"Good",Table1[[#This Row],[IMDB_Rating]]&lt;7,"Average")</f>
        <v>Good</v>
      </c>
    </row>
    <row r="799" spans="1:11" x14ac:dyDescent="0.35">
      <c r="A799" t="s">
        <v>278</v>
      </c>
      <c r="B799">
        <v>1985</v>
      </c>
      <c r="C799">
        <v>142</v>
      </c>
      <c r="D799" t="s">
        <v>11</v>
      </c>
      <c r="E799">
        <v>8.3000000000000007</v>
      </c>
      <c r="F799" t="s">
        <v>279</v>
      </c>
      <c r="G799" t="s">
        <v>280</v>
      </c>
      <c r="H799">
        <v>59056</v>
      </c>
      <c r="I799">
        <v>728423774</v>
      </c>
      <c r="K799" t="str" cm="1">
        <f t="array" ref="K7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800" spans="1:11" x14ac:dyDescent="0.35">
      <c r="A800" t="s">
        <v>43</v>
      </c>
      <c r="B800">
        <v>1994</v>
      </c>
      <c r="C800">
        <v>142</v>
      </c>
      <c r="D800" t="s">
        <v>11</v>
      </c>
      <c r="E800">
        <v>8.8000000000000007</v>
      </c>
      <c r="F800" t="s">
        <v>44</v>
      </c>
      <c r="G800" t="s">
        <v>45</v>
      </c>
      <c r="H800">
        <v>1809221</v>
      </c>
      <c r="I800">
        <v>330252182</v>
      </c>
      <c r="J800">
        <v>82</v>
      </c>
      <c r="K800" t="str" cm="1">
        <f t="array" ref="K80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01" spans="1:11" x14ac:dyDescent="0.35">
      <c r="A801" t="s">
        <v>1183</v>
      </c>
      <c r="B801">
        <v>2004</v>
      </c>
      <c r="C801">
        <v>142</v>
      </c>
      <c r="D801" t="s">
        <v>74</v>
      </c>
      <c r="E801">
        <v>7.9</v>
      </c>
      <c r="F801" t="s">
        <v>1184</v>
      </c>
      <c r="G801" t="s">
        <v>564</v>
      </c>
      <c r="H801">
        <v>552493</v>
      </c>
      <c r="I801">
        <v>249358727</v>
      </c>
      <c r="J801">
        <v>82</v>
      </c>
      <c r="K801" t="str" cm="1">
        <f t="array" ref="K801">_xlfn.IFS(Table1[[#This Row],[IMDB_Rating]]&gt;=9,"Masterpiece",Table1[[#This Row],[IMDB_Rating]]&gt;=8,"Excellent",Table1[[#This Row],[IMDB_Rating]]&gt;=7,"Good",Table1[[#This Row],[IMDB_Rating]]&lt;7,"Average")</f>
        <v>Good</v>
      </c>
    </row>
    <row r="802" spans="1:11" x14ac:dyDescent="0.35">
      <c r="A802" t="s">
        <v>1985</v>
      </c>
      <c r="B802">
        <v>2015</v>
      </c>
      <c r="C802">
        <v>142</v>
      </c>
      <c r="D802" t="s">
        <v>11</v>
      </c>
      <c r="E802">
        <v>7.6</v>
      </c>
      <c r="F802" t="s">
        <v>35</v>
      </c>
      <c r="G802" t="s">
        <v>45</v>
      </c>
      <c r="H802">
        <v>287659</v>
      </c>
      <c r="I802">
        <v>72313754</v>
      </c>
      <c r="J802">
        <v>81</v>
      </c>
      <c r="K802" t="str" cm="1">
        <f t="array" ref="K802">_xlfn.IFS(Table1[[#This Row],[IMDB_Rating]]&gt;=9,"Masterpiece",Table1[[#This Row],[IMDB_Rating]]&gt;=8,"Excellent",Table1[[#This Row],[IMDB_Rating]]&gt;=7,"Good",Table1[[#This Row],[IMDB_Rating]]&lt;7,"Average")</f>
        <v>Good</v>
      </c>
    </row>
    <row r="803" spans="1:11" x14ac:dyDescent="0.35">
      <c r="A803" t="s">
        <v>10</v>
      </c>
      <c r="B803">
        <v>1994</v>
      </c>
      <c r="C803">
        <v>142</v>
      </c>
      <c r="D803" t="s">
        <v>11</v>
      </c>
      <c r="E803">
        <v>9.3000000000000007</v>
      </c>
      <c r="F803" t="s">
        <v>12</v>
      </c>
      <c r="G803" t="s">
        <v>13</v>
      </c>
      <c r="H803">
        <v>2343110</v>
      </c>
      <c r="I803">
        <v>28341469</v>
      </c>
      <c r="J803">
        <v>80</v>
      </c>
      <c r="K803" t="str" cm="1">
        <f t="array" ref="K803">_xlfn.IFS(Table1[[#This Row],[IMDB_Rating]]&gt;=9,"Masterpiece",Table1[[#This Row],[IMDB_Rating]]&gt;=8,"Excellent",Table1[[#This Row],[IMDB_Rating]]&gt;=7,"Good",Table1[[#This Row],[IMDB_Rating]]&lt;7,"Average")</f>
        <v>Masterpiece</v>
      </c>
    </row>
    <row r="804" spans="1:11" x14ac:dyDescent="0.35">
      <c r="A804" t="s">
        <v>423</v>
      </c>
      <c r="B804">
        <v>1988</v>
      </c>
      <c r="C804">
        <v>142</v>
      </c>
      <c r="D804" t="s">
        <v>67</v>
      </c>
      <c r="E804">
        <v>8.1999999999999993</v>
      </c>
      <c r="F804" t="s">
        <v>424</v>
      </c>
      <c r="G804" t="s">
        <v>425</v>
      </c>
      <c r="H804">
        <v>26402</v>
      </c>
      <c r="I804">
        <v>280015</v>
      </c>
      <c r="K804" t="str" cm="1">
        <f t="array" ref="K804">_xlfn.IFS(Table1[[#This Row],[IMDB_Rating]]&gt;=9,"Masterpiece",Table1[[#This Row],[IMDB_Rating]]&gt;=8,"Excellent",Table1[[#This Row],[IMDB_Rating]]&gt;=7,"Good",Table1[[#This Row],[IMDB_Rating]]&lt;7,"Average")</f>
        <v>Excellent</v>
      </c>
    </row>
    <row r="805" spans="1:11" x14ac:dyDescent="0.35">
      <c r="A805" t="s">
        <v>851</v>
      </c>
      <c r="B805">
        <v>2012</v>
      </c>
      <c r="C805">
        <v>143</v>
      </c>
      <c r="D805" t="s">
        <v>19</v>
      </c>
      <c r="E805">
        <v>8</v>
      </c>
      <c r="F805" t="s">
        <v>852</v>
      </c>
      <c r="G805" t="s">
        <v>853</v>
      </c>
      <c r="H805">
        <v>1260806</v>
      </c>
      <c r="I805">
        <v>623279547</v>
      </c>
      <c r="J805">
        <v>69</v>
      </c>
      <c r="K805" t="str" cm="1">
        <f t="array" ref="K80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06" spans="1:11" x14ac:dyDescent="0.35">
      <c r="A806" t="s">
        <v>212</v>
      </c>
      <c r="B806">
        <v>1963</v>
      </c>
      <c r="C806">
        <v>143</v>
      </c>
      <c r="D806" t="s">
        <v>15</v>
      </c>
      <c r="E806">
        <v>8.4</v>
      </c>
      <c r="F806" t="s">
        <v>98</v>
      </c>
      <c r="G806" t="s">
        <v>99</v>
      </c>
      <c r="H806">
        <v>34357</v>
      </c>
      <c r="I806">
        <v>620361655</v>
      </c>
      <c r="K806" t="str" cm="1">
        <f t="array" ref="K8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07" spans="1:11" x14ac:dyDescent="0.35">
      <c r="A807" t="s">
        <v>898</v>
      </c>
      <c r="B807">
        <v>2003</v>
      </c>
      <c r="C807">
        <v>143</v>
      </c>
      <c r="D807" t="s">
        <v>19</v>
      </c>
      <c r="E807">
        <v>8</v>
      </c>
      <c r="F807" t="s">
        <v>899</v>
      </c>
      <c r="G807" t="s">
        <v>900</v>
      </c>
      <c r="H807">
        <v>1015122</v>
      </c>
      <c r="I807">
        <v>305413918</v>
      </c>
      <c r="J807">
        <v>63</v>
      </c>
      <c r="K807" t="str" cm="1">
        <f t="array" ref="K80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08" spans="1:11" x14ac:dyDescent="0.35">
      <c r="A808" t="s">
        <v>1705</v>
      </c>
      <c r="B808">
        <v>2012</v>
      </c>
      <c r="C808">
        <v>143</v>
      </c>
      <c r="D808" t="s">
        <v>19</v>
      </c>
      <c r="E808">
        <v>7.7</v>
      </c>
      <c r="F808" t="s">
        <v>224</v>
      </c>
      <c r="G808" t="s">
        <v>882</v>
      </c>
      <c r="H808">
        <v>630614</v>
      </c>
      <c r="I808">
        <v>304360277</v>
      </c>
      <c r="J808">
        <v>81</v>
      </c>
      <c r="K808" t="str" cm="1">
        <f t="array" ref="K808">_xlfn.IFS(Table1[[#This Row],[IMDB_Rating]]&gt;=9,"Masterpiece",Table1[[#This Row],[IMDB_Rating]]&gt;=8,"Excellent",Table1[[#This Row],[IMDB_Rating]]&gt;=7,"Good",Table1[[#This Row],[IMDB_Rating]]&lt;7,"Average")</f>
        <v>Good</v>
      </c>
    </row>
    <row r="809" spans="1:11" x14ac:dyDescent="0.35">
      <c r="A809" t="s">
        <v>1487</v>
      </c>
      <c r="B809">
        <v>2000</v>
      </c>
      <c r="C809">
        <v>143</v>
      </c>
      <c r="D809" t="s">
        <v>74</v>
      </c>
      <c r="E809">
        <v>7.8</v>
      </c>
      <c r="F809" t="s">
        <v>44</v>
      </c>
      <c r="G809" t="s">
        <v>45</v>
      </c>
      <c r="H809">
        <v>524235</v>
      </c>
      <c r="I809">
        <v>233632142</v>
      </c>
      <c r="J809">
        <v>73</v>
      </c>
      <c r="K809" t="str" cm="1">
        <f t="array" ref="K809">_xlfn.IFS(Table1[[#This Row],[IMDB_Rating]]&gt;=9,"Masterpiece",Table1[[#This Row],[IMDB_Rating]]&gt;=8,"Excellent",Table1[[#This Row],[IMDB_Rating]]&gt;=7,"Good",Table1[[#This Row],[IMDB_Rating]]&lt;7,"Average")</f>
        <v>Good</v>
      </c>
    </row>
    <row r="810" spans="1:11" x14ac:dyDescent="0.35">
      <c r="A810" t="s">
        <v>862</v>
      </c>
      <c r="B810">
        <v>2006</v>
      </c>
      <c r="C810">
        <v>143</v>
      </c>
      <c r="D810" t="s">
        <v>74</v>
      </c>
      <c r="E810">
        <v>8</v>
      </c>
      <c r="F810" t="s">
        <v>863</v>
      </c>
      <c r="G810" t="s">
        <v>38</v>
      </c>
      <c r="H810">
        <v>499439</v>
      </c>
      <c r="I810">
        <v>57366262</v>
      </c>
      <c r="J810">
        <v>64</v>
      </c>
      <c r="K810" t="str" cm="1">
        <f t="array" ref="K81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11" spans="1:11" x14ac:dyDescent="0.35">
      <c r="A811" t="s">
        <v>1582</v>
      </c>
      <c r="B811">
        <v>1973</v>
      </c>
      <c r="C811">
        <v>143</v>
      </c>
      <c r="D811" t="s">
        <v>15</v>
      </c>
      <c r="E811">
        <v>7.8</v>
      </c>
      <c r="F811" t="s">
        <v>1285</v>
      </c>
      <c r="G811" t="s">
        <v>1583</v>
      </c>
      <c r="H811">
        <v>37445</v>
      </c>
      <c r="I811">
        <v>16056255</v>
      </c>
      <c r="J811">
        <v>80</v>
      </c>
      <c r="K811" t="str" cm="1">
        <f t="array" ref="K811">_xlfn.IFS(Table1[[#This Row],[IMDB_Rating]]&gt;=9,"Masterpiece",Table1[[#This Row],[IMDB_Rating]]&gt;=8,"Excellent",Table1[[#This Row],[IMDB_Rating]]&gt;=7,"Good",Table1[[#This Row],[IMDB_Rating]]&lt;7,"Average")</f>
        <v>Good</v>
      </c>
    </row>
    <row r="812" spans="1:11" x14ac:dyDescent="0.35">
      <c r="A812" t="s">
        <v>326</v>
      </c>
      <c r="B812">
        <v>2019</v>
      </c>
      <c r="C812">
        <v>143</v>
      </c>
      <c r="D812" t="s">
        <v>67</v>
      </c>
      <c r="E812">
        <v>8.1999999999999993</v>
      </c>
      <c r="F812" t="s">
        <v>167</v>
      </c>
      <c r="G812" t="s">
        <v>327</v>
      </c>
      <c r="H812">
        <v>33893</v>
      </c>
      <c r="I812">
        <v>898575</v>
      </c>
      <c r="K812" t="str" cm="1">
        <f t="array" ref="K812">_xlfn.IFS(Table1[[#This Row],[IMDB_Rating]]&gt;=9,"Masterpiece",Table1[[#This Row],[IMDB_Rating]]&gt;=8,"Excellent",Table1[[#This Row],[IMDB_Rating]]&gt;=7,"Good",Table1[[#This Row],[IMDB_Rating]]&lt;7,"Average")</f>
        <v>Excellent</v>
      </c>
    </row>
    <row r="813" spans="1:11" x14ac:dyDescent="0.35">
      <c r="A813" t="s">
        <v>311</v>
      </c>
      <c r="B813">
        <v>1952</v>
      </c>
      <c r="C813">
        <v>143</v>
      </c>
      <c r="D813" t="s">
        <v>11</v>
      </c>
      <c r="E813">
        <v>8.3000000000000007</v>
      </c>
      <c r="F813" t="s">
        <v>98</v>
      </c>
      <c r="G813" t="s">
        <v>312</v>
      </c>
      <c r="H813">
        <v>68463</v>
      </c>
      <c r="I813">
        <v>55240</v>
      </c>
      <c r="K813" t="str" cm="1">
        <f t="array" ref="K813">_xlfn.IFS(Table1[[#This Row],[IMDB_Rating]]&gt;=9,"Masterpiece",Table1[[#This Row],[IMDB_Rating]]&gt;=8,"Excellent",Table1[[#This Row],[IMDB_Rating]]&gt;=7,"Good",Table1[[#This Row],[IMDB_Rating]]&lt;7,"Average")</f>
        <v>Excellent</v>
      </c>
    </row>
    <row r="814" spans="1:11" x14ac:dyDescent="0.35">
      <c r="A814" t="s">
        <v>1273</v>
      </c>
      <c r="B814">
        <v>1960</v>
      </c>
      <c r="C814">
        <v>144</v>
      </c>
      <c r="D814" t="s">
        <v>11</v>
      </c>
      <c r="E814">
        <v>7.9</v>
      </c>
      <c r="F814" t="s">
        <v>1274</v>
      </c>
      <c r="G814" t="s">
        <v>1275</v>
      </c>
      <c r="H814">
        <v>26542</v>
      </c>
      <c r="I814">
        <v>872858832</v>
      </c>
      <c r="K814" t="str" cm="1">
        <f t="array" ref="K814">_xlfn.IFS(Table1[[#This Row],[IMDB_Rating]]&gt;=9,"Masterpiece",Table1[[#This Row],[IMDB_Rating]]&gt;=8,"Excellent",Table1[[#This Row],[IMDB_Rating]]&gt;=7,"Good",Table1[[#This Row],[IMDB_Rating]]&lt;7,"Average")</f>
        <v>Good</v>
      </c>
    </row>
    <row r="815" spans="1:11" x14ac:dyDescent="0.35">
      <c r="A815" t="s">
        <v>791</v>
      </c>
      <c r="B815">
        <v>2015</v>
      </c>
      <c r="C815">
        <v>144</v>
      </c>
      <c r="D815" t="s">
        <v>74</v>
      </c>
      <c r="E815">
        <v>8</v>
      </c>
      <c r="F815" t="s">
        <v>118</v>
      </c>
      <c r="G815" t="s">
        <v>542</v>
      </c>
      <c r="H815">
        <v>760094</v>
      </c>
      <c r="I815">
        <v>228433663</v>
      </c>
      <c r="J815">
        <v>80</v>
      </c>
      <c r="K815" t="str" cm="1">
        <f t="array" ref="K81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16" spans="1:11" x14ac:dyDescent="0.35">
      <c r="A816" t="s">
        <v>880</v>
      </c>
      <c r="B816">
        <v>2006</v>
      </c>
      <c r="C816">
        <v>144</v>
      </c>
      <c r="D816" t="s">
        <v>19</v>
      </c>
      <c r="E816">
        <v>8</v>
      </c>
      <c r="F816" t="s">
        <v>881</v>
      </c>
      <c r="G816" t="s">
        <v>882</v>
      </c>
      <c r="H816">
        <v>582239</v>
      </c>
      <c r="I816">
        <v>167445960</v>
      </c>
      <c r="J816">
        <v>80</v>
      </c>
      <c r="K816" t="str" cm="1">
        <f t="array" ref="K81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17" spans="1:11" x14ac:dyDescent="0.35">
      <c r="A817" t="s">
        <v>1782</v>
      </c>
      <c r="B817">
        <v>2001</v>
      </c>
      <c r="C817">
        <v>144</v>
      </c>
      <c r="D817" t="s">
        <v>11</v>
      </c>
      <c r="E817">
        <v>7.7</v>
      </c>
      <c r="F817" t="s">
        <v>118</v>
      </c>
      <c r="G817" t="s">
        <v>1741</v>
      </c>
      <c r="H817">
        <v>364254</v>
      </c>
      <c r="I817">
        <v>108638745</v>
      </c>
      <c r="J817">
        <v>74</v>
      </c>
      <c r="K817" t="str" cm="1">
        <f t="array" ref="K817">_xlfn.IFS(Table1[[#This Row],[IMDB_Rating]]&gt;=9,"Masterpiece",Table1[[#This Row],[IMDB_Rating]]&gt;=8,"Excellent",Table1[[#This Row],[IMDB_Rating]]&gt;=7,"Good",Table1[[#This Row],[IMDB_Rating]]&lt;7,"Average")</f>
        <v>Good</v>
      </c>
    </row>
    <row r="818" spans="1:11" x14ac:dyDescent="0.35">
      <c r="A818" t="s">
        <v>891</v>
      </c>
      <c r="B818">
        <v>2005</v>
      </c>
      <c r="C818">
        <v>144</v>
      </c>
      <c r="D818" t="s">
        <v>34</v>
      </c>
      <c r="E818">
        <v>8</v>
      </c>
      <c r="F818" t="s">
        <v>405</v>
      </c>
      <c r="G818" t="s">
        <v>119</v>
      </c>
      <c r="H818">
        <v>176151</v>
      </c>
      <c r="I818">
        <v>61649911</v>
      </c>
      <c r="J818">
        <v>69</v>
      </c>
      <c r="K818" t="str" cm="1">
        <f t="array" ref="K818">_xlfn.IFS(Table1[[#This Row],[IMDB_Rating]]&gt;=9,"Masterpiece",Table1[[#This Row],[IMDB_Rating]]&gt;=8,"Excellent",Table1[[#This Row],[IMDB_Rating]]&gt;=7,"Good",Table1[[#This Row],[IMDB_Rating]]&lt;7,"Average")</f>
        <v>Excellent</v>
      </c>
    </row>
    <row r="819" spans="1:11" x14ac:dyDescent="0.35">
      <c r="A819" t="s">
        <v>1225</v>
      </c>
      <c r="B819">
        <v>1993</v>
      </c>
      <c r="C819">
        <v>144</v>
      </c>
      <c r="D819" t="s">
        <v>15</v>
      </c>
      <c r="E819">
        <v>7.9</v>
      </c>
      <c r="F819" t="s">
        <v>285</v>
      </c>
      <c r="G819" t="s">
        <v>23</v>
      </c>
      <c r="H819">
        <v>201000</v>
      </c>
      <c r="I819">
        <v>36948322</v>
      </c>
      <c r="J819">
        <v>65</v>
      </c>
      <c r="K819" t="str" cm="1">
        <f t="array" ref="K819">_xlfn.IFS(Table1[[#This Row],[IMDB_Rating]]&gt;=9,"Masterpiece",Table1[[#This Row],[IMDB_Rating]]&gt;=8,"Excellent",Table1[[#This Row],[IMDB_Rating]]&gt;=7,"Good",Table1[[#This Row],[IMDB_Rating]]&lt;7,"Average")</f>
        <v>Good</v>
      </c>
    </row>
    <row r="820" spans="1:11" x14ac:dyDescent="0.35">
      <c r="A820" t="s">
        <v>1408</v>
      </c>
      <c r="B820">
        <v>2009</v>
      </c>
      <c r="C820">
        <v>144</v>
      </c>
      <c r="D820" t="s">
        <v>11</v>
      </c>
      <c r="E820">
        <v>7.8</v>
      </c>
      <c r="F820" t="s">
        <v>1129</v>
      </c>
      <c r="G820" t="s">
        <v>1409</v>
      </c>
      <c r="H820">
        <v>68715</v>
      </c>
      <c r="I820">
        <v>2222647</v>
      </c>
      <c r="J820">
        <v>82</v>
      </c>
      <c r="K820" t="str" cm="1">
        <f t="array" ref="K820">_xlfn.IFS(Table1[[#This Row],[IMDB_Rating]]&gt;=9,"Masterpiece",Table1[[#This Row],[IMDB_Rating]]&gt;=8,"Excellent",Table1[[#This Row],[IMDB_Rating]]&gt;=7,"Good",Table1[[#This Row],[IMDB_Rating]]&lt;7,"Average")</f>
        <v>Good</v>
      </c>
    </row>
    <row r="821" spans="1:11" x14ac:dyDescent="0.35">
      <c r="A821" t="s">
        <v>583</v>
      </c>
      <c r="B821">
        <v>2006</v>
      </c>
      <c r="C821">
        <v>144</v>
      </c>
      <c r="D821" t="s">
        <v>67</v>
      </c>
      <c r="E821">
        <v>8.1</v>
      </c>
      <c r="F821" t="s">
        <v>183</v>
      </c>
      <c r="G821" t="s">
        <v>584</v>
      </c>
      <c r="H821">
        <v>43137</v>
      </c>
      <c r="I821">
        <v>2217561</v>
      </c>
      <c r="K821" t="str" cm="1">
        <f t="array" ref="K821">_xlfn.IFS(Table1[[#This Row],[IMDB_Rating]]&gt;=9,"Masterpiece",Table1[[#This Row],[IMDB_Rating]]&gt;=8,"Excellent",Table1[[#This Row],[IMDB_Rating]]&gt;=7,"Good",Table1[[#This Row],[IMDB_Rating]]&lt;7,"Average")</f>
        <v>Excellent</v>
      </c>
    </row>
    <row r="822" spans="1:11" x14ac:dyDescent="0.35">
      <c r="A822" t="s">
        <v>2173</v>
      </c>
      <c r="B822">
        <v>1970</v>
      </c>
      <c r="C822">
        <v>144</v>
      </c>
      <c r="D822" t="s">
        <v>74</v>
      </c>
      <c r="E822">
        <v>7.6</v>
      </c>
      <c r="F822" t="s">
        <v>1910</v>
      </c>
      <c r="G822" t="s">
        <v>49</v>
      </c>
      <c r="H822">
        <v>45338</v>
      </c>
      <c r="I822">
        <v>1378435</v>
      </c>
      <c r="J822">
        <v>50</v>
      </c>
      <c r="K822" t="str" cm="1">
        <f t="array" ref="K822">_xlfn.IFS(Table1[[#This Row],[IMDB_Rating]]&gt;=9,"Masterpiece",Table1[[#This Row],[IMDB_Rating]]&gt;=8,"Excellent",Table1[[#This Row],[IMDB_Rating]]&gt;=7,"Good",Table1[[#This Row],[IMDB_Rating]]&lt;7,"Average")</f>
        <v>Good</v>
      </c>
    </row>
    <row r="823" spans="1:11" x14ac:dyDescent="0.35">
      <c r="A823" t="s">
        <v>803</v>
      </c>
      <c r="B823">
        <v>2013</v>
      </c>
      <c r="C823">
        <v>144</v>
      </c>
      <c r="D823" t="s">
        <v>15</v>
      </c>
      <c r="E823">
        <v>8</v>
      </c>
      <c r="F823" t="s">
        <v>559</v>
      </c>
      <c r="G823" t="s">
        <v>408</v>
      </c>
      <c r="H823">
        <v>51069</v>
      </c>
      <c r="I823">
        <v>1079369</v>
      </c>
      <c r="K823" t="str" cm="1">
        <f t="array" ref="K823">_xlfn.IFS(Table1[[#This Row],[IMDB_Rating]]&gt;=9,"Masterpiece",Table1[[#This Row],[IMDB_Rating]]&gt;=8,"Excellent",Table1[[#This Row],[IMDB_Rating]]&gt;=7,"Good",Table1[[#This Row],[IMDB_Rating]]&lt;7,"Average")</f>
        <v>Excellent</v>
      </c>
    </row>
    <row r="824" spans="1:11" x14ac:dyDescent="0.35">
      <c r="A824" t="s">
        <v>1390</v>
      </c>
      <c r="B824">
        <v>2010</v>
      </c>
      <c r="C824">
        <v>144</v>
      </c>
      <c r="D824" t="s">
        <v>19</v>
      </c>
      <c r="E824">
        <v>7.8</v>
      </c>
      <c r="F824" t="s">
        <v>1391</v>
      </c>
      <c r="G824" t="s">
        <v>1392</v>
      </c>
      <c r="H824">
        <v>111252</v>
      </c>
      <c r="I824">
        <v>128392</v>
      </c>
      <c r="J824">
        <v>67</v>
      </c>
      <c r="K824" t="str" cm="1">
        <f t="array" ref="K824">_xlfn.IFS(Table1[[#This Row],[IMDB_Rating]]&gt;=9,"Masterpiece",Table1[[#This Row],[IMDB_Rating]]&gt;=8,"Excellent",Table1[[#This Row],[IMDB_Rating]]&gt;=7,"Good",Table1[[#This Row],[IMDB_Rating]]&lt;7,"Average")</f>
        <v>Good</v>
      </c>
    </row>
    <row r="825" spans="1:11" x14ac:dyDescent="0.35">
      <c r="A825" t="s">
        <v>837</v>
      </c>
      <c r="B825">
        <v>2009</v>
      </c>
      <c r="C825">
        <v>144</v>
      </c>
      <c r="D825" t="s">
        <v>11</v>
      </c>
      <c r="E825">
        <v>8</v>
      </c>
      <c r="F825" t="s">
        <v>361</v>
      </c>
      <c r="G825" t="s">
        <v>838</v>
      </c>
      <c r="H825">
        <v>28749</v>
      </c>
      <c r="I825">
        <v>10950</v>
      </c>
      <c r="K825" t="str" cm="1">
        <f t="array" ref="K8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26" spans="1:11" x14ac:dyDescent="0.35">
      <c r="A826" t="s">
        <v>2101</v>
      </c>
      <c r="B826">
        <v>2002</v>
      </c>
      <c r="C826">
        <v>145</v>
      </c>
      <c r="D826" t="s">
        <v>19</v>
      </c>
      <c r="E826">
        <v>7.6</v>
      </c>
      <c r="F826" t="s">
        <v>35</v>
      </c>
      <c r="G826" t="s">
        <v>917</v>
      </c>
      <c r="H826">
        <v>508417</v>
      </c>
      <c r="I826">
        <v>132072926</v>
      </c>
      <c r="J826">
        <v>80</v>
      </c>
      <c r="K826" t="str" cm="1">
        <f t="array" ref="K826">_xlfn.IFS(Table1[[#This Row],[IMDB_Rating]]&gt;=9,"Masterpiece",Table1[[#This Row],[IMDB_Rating]]&gt;=8,"Excellent",Table1[[#This Row],[IMDB_Rating]]&gt;=7,"Good",Table1[[#This Row],[IMDB_Rating]]&lt;7,"Average")</f>
        <v>Good</v>
      </c>
    </row>
    <row r="827" spans="1:11" x14ac:dyDescent="0.35">
      <c r="A827" t="s">
        <v>1260</v>
      </c>
      <c r="B827">
        <v>1969</v>
      </c>
      <c r="C827">
        <v>145</v>
      </c>
      <c r="D827" t="s">
        <v>19</v>
      </c>
      <c r="E827">
        <v>7.9</v>
      </c>
      <c r="F827" t="s">
        <v>1261</v>
      </c>
      <c r="G827" t="s">
        <v>222</v>
      </c>
      <c r="H827">
        <v>77401</v>
      </c>
      <c r="I827">
        <v>12064472</v>
      </c>
      <c r="J827">
        <v>97</v>
      </c>
      <c r="K827" t="str" cm="1">
        <f t="array" ref="K827">_xlfn.IFS(Table1[[#This Row],[IMDB_Rating]]&gt;=9,"Masterpiece",Table1[[#This Row],[IMDB_Rating]]&gt;=8,"Excellent",Table1[[#This Row],[IMDB_Rating]]&gt;=7,"Good",Table1[[#This Row],[IMDB_Rating]]&lt;7,"Average")</f>
        <v>Good</v>
      </c>
    </row>
    <row r="828" spans="1:11" x14ac:dyDescent="0.35">
      <c r="A828" t="s">
        <v>1750</v>
      </c>
      <c r="B828">
        <v>2006</v>
      </c>
      <c r="C828">
        <v>145</v>
      </c>
      <c r="D828" t="s">
        <v>11</v>
      </c>
      <c r="E828">
        <v>7.7</v>
      </c>
      <c r="F828" t="s">
        <v>1751</v>
      </c>
      <c r="G828" t="s">
        <v>1752</v>
      </c>
      <c r="H828">
        <v>72643</v>
      </c>
      <c r="I828">
        <v>4398392</v>
      </c>
      <c r="J828">
        <v>71</v>
      </c>
      <c r="K828" t="str" cm="1">
        <f t="array" ref="K828">_xlfn.IFS(Table1[[#This Row],[IMDB_Rating]]&gt;=9,"Masterpiece",Table1[[#This Row],[IMDB_Rating]]&gt;=8,"Excellent",Table1[[#This Row],[IMDB_Rating]]&gt;=7,"Good",Table1[[#This Row],[IMDB_Rating]]&lt;7,"Average")</f>
        <v>Good</v>
      </c>
    </row>
    <row r="829" spans="1:11" x14ac:dyDescent="0.35">
      <c r="A829" t="s">
        <v>658</v>
      </c>
      <c r="B829">
        <v>1984</v>
      </c>
      <c r="C829">
        <v>145</v>
      </c>
      <c r="D829" t="s">
        <v>11</v>
      </c>
      <c r="E829">
        <v>8.1</v>
      </c>
      <c r="F829" t="s">
        <v>659</v>
      </c>
      <c r="G829" t="s">
        <v>660</v>
      </c>
      <c r="H829">
        <v>91188</v>
      </c>
      <c r="I829">
        <v>2181987</v>
      </c>
      <c r="J829">
        <v>78</v>
      </c>
      <c r="K829" t="str" cm="1">
        <f t="array" ref="K829">_xlfn.IFS(Table1[[#This Row],[IMDB_Rating]]&gt;=9,"Masterpiece",Table1[[#This Row],[IMDB_Rating]]&gt;=8,"Excellent",Table1[[#This Row],[IMDB_Rating]]&gt;=7,"Good",Table1[[#This Row],[IMDB_Rating]]&lt;7,"Average")</f>
        <v>Excellent</v>
      </c>
    </row>
    <row r="830" spans="1:11" x14ac:dyDescent="0.35">
      <c r="A830" t="s">
        <v>496</v>
      </c>
      <c r="B830">
        <v>2016</v>
      </c>
      <c r="C830">
        <v>145</v>
      </c>
      <c r="D830" t="s">
        <v>11</v>
      </c>
      <c r="E830">
        <v>8.1</v>
      </c>
      <c r="F830" t="s">
        <v>193</v>
      </c>
      <c r="G830" t="s">
        <v>497</v>
      </c>
      <c r="H830">
        <v>113649</v>
      </c>
      <c r="I830">
        <v>2006788</v>
      </c>
      <c r="J830">
        <v>84</v>
      </c>
      <c r="K830" t="str" cm="1">
        <f t="array" ref="K83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31" spans="1:11" x14ac:dyDescent="0.35">
      <c r="A831" t="s">
        <v>1712</v>
      </c>
      <c r="B831">
        <v>2010</v>
      </c>
      <c r="C831">
        <v>146</v>
      </c>
      <c r="D831" t="s">
        <v>74</v>
      </c>
      <c r="E831">
        <v>7.7</v>
      </c>
      <c r="F831" t="s">
        <v>563</v>
      </c>
      <c r="G831" t="s">
        <v>564</v>
      </c>
      <c r="H831">
        <v>479120</v>
      </c>
      <c r="I831">
        <v>295983305</v>
      </c>
      <c r="J831">
        <v>65</v>
      </c>
      <c r="K831" t="str" cm="1">
        <f t="array" ref="K831">_xlfn.IFS(Table1[[#This Row],[IMDB_Rating]]&gt;=9,"Masterpiece",Table1[[#This Row],[IMDB_Rating]]&gt;=8,"Excellent",Table1[[#This Row],[IMDB_Rating]]&gt;=7,"Good",Table1[[#This Row],[IMDB_Rating]]&lt;7,"Average")</f>
        <v>Good</v>
      </c>
    </row>
    <row r="832" spans="1:11" x14ac:dyDescent="0.35">
      <c r="A832" t="s">
        <v>829</v>
      </c>
      <c r="B832">
        <v>2011</v>
      </c>
      <c r="C832">
        <v>146</v>
      </c>
      <c r="D832" t="s">
        <v>11</v>
      </c>
      <c r="E832">
        <v>8</v>
      </c>
      <c r="F832" t="s">
        <v>830</v>
      </c>
      <c r="G832" t="s">
        <v>831</v>
      </c>
      <c r="H832">
        <v>428521</v>
      </c>
      <c r="I832">
        <v>169708112</v>
      </c>
      <c r="J832">
        <v>62</v>
      </c>
      <c r="K832" t="str" cm="1">
        <f t="array" ref="K832">_xlfn.IFS(Table1[[#This Row],[IMDB_Rating]]&gt;=9,"Masterpiece",Table1[[#This Row],[IMDB_Rating]]&gt;=8,"Excellent",Table1[[#This Row],[IMDB_Rating]]&gt;=7,"Good",Table1[[#This Row],[IMDB_Rating]]&lt;7,"Average")</f>
        <v>Excellent</v>
      </c>
    </row>
    <row r="833" spans="1:11" x14ac:dyDescent="0.35">
      <c r="A833" t="s">
        <v>1767</v>
      </c>
      <c r="B833">
        <v>2004</v>
      </c>
      <c r="C833">
        <v>146</v>
      </c>
      <c r="D833" t="s">
        <v>19</v>
      </c>
      <c r="E833">
        <v>7.7</v>
      </c>
      <c r="F833" t="s">
        <v>1218</v>
      </c>
      <c r="G833" t="s">
        <v>1436</v>
      </c>
      <c r="H833">
        <v>329592</v>
      </c>
      <c r="I833">
        <v>77911774</v>
      </c>
      <c r="J833">
        <v>47</v>
      </c>
      <c r="K833" t="str" cm="1">
        <f t="array" ref="K833">_xlfn.IFS(Table1[[#This Row],[IMDB_Rating]]&gt;=9,"Masterpiece",Table1[[#This Row],[IMDB_Rating]]&gt;=8,"Excellent",Table1[[#This Row],[IMDB_Rating]]&gt;=7,"Good",Table1[[#This Row],[IMDB_Rating]]&lt;7,"Average")</f>
        <v>Good</v>
      </c>
    </row>
    <row r="834" spans="1:11" x14ac:dyDescent="0.35">
      <c r="A834" t="s">
        <v>2102</v>
      </c>
      <c r="B834">
        <v>1999</v>
      </c>
      <c r="C834">
        <v>146</v>
      </c>
      <c r="D834" t="s">
        <v>34</v>
      </c>
      <c r="E834">
        <v>7.6</v>
      </c>
      <c r="F834" t="s">
        <v>1004</v>
      </c>
      <c r="G834" t="s">
        <v>1436</v>
      </c>
      <c r="H834">
        <v>91557</v>
      </c>
      <c r="I834">
        <v>50668906</v>
      </c>
      <c r="J834">
        <v>74</v>
      </c>
      <c r="K834" t="str" cm="1">
        <f t="array" ref="K834">_xlfn.IFS(Table1[[#This Row],[IMDB_Rating]]&gt;=9,"Masterpiece",Table1[[#This Row],[IMDB_Rating]]&gt;=8,"Excellent",Table1[[#This Row],[IMDB_Rating]]&gt;=7,"Good",Table1[[#This Row],[IMDB_Rating]]&lt;7,"Average")</f>
        <v>Good</v>
      </c>
    </row>
    <row r="835" spans="1:11" x14ac:dyDescent="0.35">
      <c r="A835" t="s">
        <v>54</v>
      </c>
      <c r="B835">
        <v>1990</v>
      </c>
      <c r="C835">
        <v>146</v>
      </c>
      <c r="D835" t="s">
        <v>34</v>
      </c>
      <c r="E835">
        <v>8.6999999999999993</v>
      </c>
      <c r="F835" t="s">
        <v>55</v>
      </c>
      <c r="G835" t="s">
        <v>56</v>
      </c>
      <c r="H835">
        <v>1020727</v>
      </c>
      <c r="I835">
        <v>46836394</v>
      </c>
      <c r="J835">
        <v>90</v>
      </c>
      <c r="K835" t="str" cm="1">
        <f t="array" ref="K83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36" spans="1:11" x14ac:dyDescent="0.35">
      <c r="A836" t="s">
        <v>203</v>
      </c>
      <c r="B836">
        <v>1980</v>
      </c>
      <c r="C836">
        <v>146</v>
      </c>
      <c r="D836" t="s">
        <v>11</v>
      </c>
      <c r="E836">
        <v>8.4</v>
      </c>
      <c r="F836" t="s">
        <v>204</v>
      </c>
      <c r="G836" t="s">
        <v>62</v>
      </c>
      <c r="H836">
        <v>898237</v>
      </c>
      <c r="I836">
        <v>44017374</v>
      </c>
      <c r="J836">
        <v>66</v>
      </c>
      <c r="K836" t="str" cm="1">
        <f t="array" ref="K83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37" spans="1:11" x14ac:dyDescent="0.35">
      <c r="A837" t="s">
        <v>351</v>
      </c>
      <c r="B837">
        <v>2013</v>
      </c>
      <c r="C837">
        <v>146</v>
      </c>
      <c r="D837" t="s">
        <v>74</v>
      </c>
      <c r="E837">
        <v>8.1999999999999993</v>
      </c>
      <c r="F837" t="s">
        <v>352</v>
      </c>
      <c r="G837" t="s">
        <v>353</v>
      </c>
      <c r="H837">
        <v>60701</v>
      </c>
      <c r="I837">
        <v>1429534</v>
      </c>
      <c r="K837" t="str" cm="1">
        <f t="array" ref="K83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38" spans="1:11" x14ac:dyDescent="0.35">
      <c r="A838" t="s">
        <v>1346</v>
      </c>
      <c r="B838">
        <v>2016</v>
      </c>
      <c r="C838">
        <v>147</v>
      </c>
      <c r="D838" t="s">
        <v>19</v>
      </c>
      <c r="E838">
        <v>7.8</v>
      </c>
      <c r="F838" t="s">
        <v>173</v>
      </c>
      <c r="G838" t="s">
        <v>174</v>
      </c>
      <c r="H838">
        <v>663649</v>
      </c>
      <c r="I838">
        <v>408084349</v>
      </c>
      <c r="J838">
        <v>75</v>
      </c>
      <c r="K838" t="str" cm="1">
        <f t="array" ref="K838">_xlfn.IFS(Table1[[#This Row],[IMDB_Rating]]&gt;=9,"Masterpiece",Table1[[#This Row],[IMDB_Rating]]&gt;=8,"Excellent",Table1[[#This Row],[IMDB_Rating]]&gt;=7,"Good",Table1[[#This Row],[IMDB_Rating]]&lt;7,"Average")</f>
        <v>Good</v>
      </c>
    </row>
    <row r="839" spans="1:11" x14ac:dyDescent="0.35">
      <c r="A839" t="s">
        <v>160</v>
      </c>
      <c r="B839">
        <v>2017</v>
      </c>
      <c r="C839">
        <v>147</v>
      </c>
      <c r="D839" t="s">
        <v>19</v>
      </c>
      <c r="E839">
        <v>8.4</v>
      </c>
      <c r="F839" t="s">
        <v>161</v>
      </c>
      <c r="G839" t="s">
        <v>162</v>
      </c>
      <c r="H839">
        <v>28401</v>
      </c>
      <c r="I839">
        <v>357599391</v>
      </c>
      <c r="K839" t="str" cm="1">
        <f t="array" ref="K839">_xlfn.IFS(Table1[[#This Row],[IMDB_Rating]]&gt;=9,"Masterpiece",Table1[[#This Row],[IMDB_Rating]]&gt;=8,"Excellent",Table1[[#This Row],[IMDB_Rating]]&gt;=7,"Good",Table1[[#This Row],[IMDB_Rating]]&lt;7,"Average")</f>
        <v>Excellent</v>
      </c>
    </row>
    <row r="840" spans="1:11" x14ac:dyDescent="0.35">
      <c r="A840" t="s">
        <v>1646</v>
      </c>
      <c r="B840">
        <v>2018</v>
      </c>
      <c r="C840">
        <v>147</v>
      </c>
      <c r="D840" t="s">
        <v>19</v>
      </c>
      <c r="E840">
        <v>7.7</v>
      </c>
      <c r="F840" t="s">
        <v>1647</v>
      </c>
      <c r="G840" t="s">
        <v>917</v>
      </c>
      <c r="H840">
        <v>291257</v>
      </c>
      <c r="I840">
        <v>220159104</v>
      </c>
      <c r="J840">
        <v>86</v>
      </c>
      <c r="K840" t="str" cm="1">
        <f t="array" ref="K840">_xlfn.IFS(Table1[[#This Row],[IMDB_Rating]]&gt;=9,"Masterpiece",Table1[[#This Row],[IMDB_Rating]]&gt;=8,"Excellent",Table1[[#This Row],[IMDB_Rating]]&gt;=7,"Good",Table1[[#This Row],[IMDB_Rating]]&lt;7,"Average")</f>
        <v>Good</v>
      </c>
    </row>
    <row r="841" spans="1:11" x14ac:dyDescent="0.35">
      <c r="A841" t="s">
        <v>1398</v>
      </c>
      <c r="B841">
        <v>2015</v>
      </c>
      <c r="C841">
        <v>147</v>
      </c>
      <c r="D841" t="s">
        <v>34</v>
      </c>
      <c r="E841">
        <v>7.8</v>
      </c>
      <c r="F841" t="s">
        <v>1399</v>
      </c>
      <c r="G841" t="s">
        <v>1400</v>
      </c>
      <c r="H841">
        <v>179264</v>
      </c>
      <c r="I841">
        <v>161197785</v>
      </c>
      <c r="J841">
        <v>72</v>
      </c>
      <c r="K841" t="str" cm="1">
        <f t="array" ref="K841">_xlfn.IFS(Table1[[#This Row],[IMDB_Rating]]&gt;=9,"Masterpiece",Table1[[#This Row],[IMDB_Rating]]&gt;=8,"Excellent",Table1[[#This Row],[IMDB_Rating]]&gt;=7,"Good",Table1[[#This Row],[IMDB_Rating]]&lt;7,"Average")</f>
        <v>Good</v>
      </c>
    </row>
    <row r="842" spans="1:11" x14ac:dyDescent="0.35">
      <c r="A842" t="s">
        <v>205</v>
      </c>
      <c r="B842">
        <v>1979</v>
      </c>
      <c r="C842">
        <v>147</v>
      </c>
      <c r="D842" t="s">
        <v>11</v>
      </c>
      <c r="E842">
        <v>8.4</v>
      </c>
      <c r="F842" t="s">
        <v>16</v>
      </c>
      <c r="G842" t="s">
        <v>206</v>
      </c>
      <c r="H842">
        <v>606398</v>
      </c>
      <c r="I842">
        <v>83471511</v>
      </c>
      <c r="J842">
        <v>94</v>
      </c>
      <c r="K842" t="str" cm="1">
        <f t="array" ref="K842">_xlfn.IFS(Table1[[#This Row],[IMDB_Rating]]&gt;=9,"Masterpiece",Table1[[#This Row],[IMDB_Rating]]&gt;=8,"Excellent",Table1[[#This Row],[IMDB_Rating]]&gt;=7,"Good",Table1[[#This Row],[IMDB_Rating]]&lt;7,"Average")</f>
        <v>Excellent</v>
      </c>
    </row>
    <row r="843" spans="1:11" x14ac:dyDescent="0.35">
      <c r="A843" t="s">
        <v>2117</v>
      </c>
      <c r="B843">
        <v>1996</v>
      </c>
      <c r="C843">
        <v>147</v>
      </c>
      <c r="D843" t="s">
        <v>15</v>
      </c>
      <c r="E843">
        <v>7.6</v>
      </c>
      <c r="F843" t="s">
        <v>968</v>
      </c>
      <c r="G843" t="s">
        <v>56</v>
      </c>
      <c r="H843">
        <v>186734</v>
      </c>
      <c r="I843">
        <v>49100000</v>
      </c>
      <c r="J843">
        <v>49</v>
      </c>
      <c r="K843" t="str" cm="1">
        <f t="array" ref="K843">_xlfn.IFS(Table1[[#This Row],[IMDB_Rating]]&gt;=9,"Masterpiece",Table1[[#This Row],[IMDB_Rating]]&gt;=8,"Excellent",Table1[[#This Row],[IMDB_Rating]]&gt;=7,"Good",Table1[[#This Row],[IMDB_Rating]]&lt;7,"Average")</f>
        <v>Good</v>
      </c>
    </row>
    <row r="844" spans="1:11" x14ac:dyDescent="0.35">
      <c r="A844" t="s">
        <v>1205</v>
      </c>
      <c r="B844">
        <v>2001</v>
      </c>
      <c r="C844">
        <v>147</v>
      </c>
      <c r="D844" t="s">
        <v>11</v>
      </c>
      <c r="E844">
        <v>7.9</v>
      </c>
      <c r="F844" t="s">
        <v>676</v>
      </c>
      <c r="G844" t="s">
        <v>1206</v>
      </c>
      <c r="H844">
        <v>322031</v>
      </c>
      <c r="I844">
        <v>7220243</v>
      </c>
      <c r="J844">
        <v>85</v>
      </c>
      <c r="K844" t="str" cm="1">
        <f t="array" ref="K844">_xlfn.IFS(Table1[[#This Row],[IMDB_Rating]]&gt;=9,"Masterpiece",Table1[[#This Row],[IMDB_Rating]]&gt;=8,"Excellent",Table1[[#This Row],[IMDB_Rating]]&gt;=7,"Good",Table1[[#This Row],[IMDB_Rating]]&lt;7,"Average")</f>
        <v>Good</v>
      </c>
    </row>
    <row r="845" spans="1:11" x14ac:dyDescent="0.35">
      <c r="A845" t="s">
        <v>37</v>
      </c>
      <c r="B845">
        <v>2010</v>
      </c>
      <c r="C845">
        <v>148</v>
      </c>
      <c r="D845" t="s">
        <v>19</v>
      </c>
      <c r="E845">
        <v>8.8000000000000007</v>
      </c>
      <c r="F845" t="s">
        <v>20</v>
      </c>
      <c r="G845" t="s">
        <v>38</v>
      </c>
      <c r="H845">
        <v>2067042</v>
      </c>
      <c r="I845">
        <v>292576195</v>
      </c>
      <c r="J845">
        <v>74</v>
      </c>
      <c r="K845" t="str" cm="1">
        <f t="array" ref="K84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46" spans="1:11" x14ac:dyDescent="0.35">
      <c r="A846" t="s">
        <v>1331</v>
      </c>
      <c r="B846">
        <v>2016</v>
      </c>
      <c r="C846">
        <v>148</v>
      </c>
      <c r="D846" t="s">
        <v>19</v>
      </c>
      <c r="E846">
        <v>7.8</v>
      </c>
      <c r="F846" t="s">
        <v>1332</v>
      </c>
      <c r="G846" t="s">
        <v>503</v>
      </c>
      <c r="H846">
        <v>27175</v>
      </c>
      <c r="I846">
        <v>218428303</v>
      </c>
      <c r="K846" t="str" cm="1">
        <f t="array" ref="K846">_xlfn.IFS(Table1[[#This Row],[IMDB_Rating]]&gt;=9,"Masterpiece",Table1[[#This Row],[IMDB_Rating]]&gt;=8,"Excellent",Table1[[#This Row],[IMDB_Rating]]&gt;=7,"Good",Table1[[#This Row],[IMDB_Rating]]&lt;7,"Average")</f>
        <v>Good</v>
      </c>
    </row>
    <row r="847" spans="1:11" x14ac:dyDescent="0.35">
      <c r="A847" t="s">
        <v>577</v>
      </c>
      <c r="B847">
        <v>2007</v>
      </c>
      <c r="C847">
        <v>148</v>
      </c>
      <c r="D847" t="s">
        <v>74</v>
      </c>
      <c r="E847">
        <v>8.1</v>
      </c>
      <c r="F847" t="s">
        <v>578</v>
      </c>
      <c r="G847" t="s">
        <v>579</v>
      </c>
      <c r="H847">
        <v>572921</v>
      </c>
      <c r="I847">
        <v>18354356</v>
      </c>
      <c r="J847">
        <v>73</v>
      </c>
      <c r="K847" t="str" cm="1">
        <f t="array" ref="K8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48" spans="1:11" x14ac:dyDescent="0.35">
      <c r="A848" t="s">
        <v>175</v>
      </c>
      <c r="B848">
        <v>2018</v>
      </c>
      <c r="C848">
        <v>149</v>
      </c>
      <c r="D848" t="s">
        <v>19</v>
      </c>
      <c r="E848">
        <v>8.4</v>
      </c>
      <c r="F848" t="s">
        <v>173</v>
      </c>
      <c r="G848" t="s">
        <v>174</v>
      </c>
      <c r="H848">
        <v>834477</v>
      </c>
      <c r="I848">
        <v>678815482</v>
      </c>
      <c r="J848">
        <v>68</v>
      </c>
      <c r="K848" t="str" cm="1">
        <f t="array" ref="K848">_xlfn.IFS(Table1[[#This Row],[IMDB_Rating]]&gt;=9,"Masterpiece",Table1[[#This Row],[IMDB_Rating]]&gt;=8,"Excellent",Table1[[#This Row],[IMDB_Rating]]&gt;=7,"Good",Table1[[#This Row],[IMDB_Rating]]&lt;7,"Average")</f>
        <v>Excellent</v>
      </c>
    </row>
    <row r="849" spans="1:11" x14ac:dyDescent="0.35">
      <c r="A849" t="s">
        <v>525</v>
      </c>
      <c r="B849">
        <v>2014</v>
      </c>
      <c r="C849">
        <v>149</v>
      </c>
      <c r="D849" t="s">
        <v>11</v>
      </c>
      <c r="E849">
        <v>8.1</v>
      </c>
      <c r="F849" t="s">
        <v>40</v>
      </c>
      <c r="G849" t="s">
        <v>526</v>
      </c>
      <c r="H849">
        <v>859695</v>
      </c>
      <c r="I849">
        <v>167767189</v>
      </c>
      <c r="J849">
        <v>79</v>
      </c>
      <c r="K849" t="str" cm="1">
        <f t="array" ref="K849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0" spans="1:11" x14ac:dyDescent="0.35">
      <c r="A850" t="s">
        <v>297</v>
      </c>
      <c r="B850">
        <v>1968</v>
      </c>
      <c r="C850">
        <v>149</v>
      </c>
      <c r="D850" t="s">
        <v>74</v>
      </c>
      <c r="E850">
        <v>8.3000000000000007</v>
      </c>
      <c r="F850" t="s">
        <v>204</v>
      </c>
      <c r="G850" t="s">
        <v>298</v>
      </c>
      <c r="H850">
        <v>603517</v>
      </c>
      <c r="I850">
        <v>56954992</v>
      </c>
      <c r="J850">
        <v>84</v>
      </c>
      <c r="K850" t="str" cm="1">
        <f t="array" ref="K85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1" spans="1:11" x14ac:dyDescent="0.35">
      <c r="A851" t="s">
        <v>288</v>
      </c>
      <c r="B851">
        <v>1981</v>
      </c>
      <c r="C851">
        <v>149</v>
      </c>
      <c r="D851" t="s">
        <v>74</v>
      </c>
      <c r="E851">
        <v>8.3000000000000007</v>
      </c>
      <c r="F851" t="s">
        <v>289</v>
      </c>
      <c r="G851" t="s">
        <v>290</v>
      </c>
      <c r="H851">
        <v>231855</v>
      </c>
      <c r="I851">
        <v>11487676</v>
      </c>
      <c r="J851">
        <v>86</v>
      </c>
      <c r="K851" t="str" cm="1">
        <f t="array" ref="K8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2" spans="1:11" x14ac:dyDescent="0.35">
      <c r="A852" t="s">
        <v>1914</v>
      </c>
      <c r="B852">
        <v>1967</v>
      </c>
      <c r="C852">
        <v>150</v>
      </c>
      <c r="D852" t="s">
        <v>19</v>
      </c>
      <c r="E852">
        <v>7.7</v>
      </c>
      <c r="F852" t="s">
        <v>714</v>
      </c>
      <c r="G852" t="s">
        <v>1915</v>
      </c>
      <c r="H852">
        <v>67183</v>
      </c>
      <c r="I852">
        <v>45300000</v>
      </c>
      <c r="J852">
        <v>73</v>
      </c>
      <c r="K852" t="str" cm="1">
        <f t="array" ref="K852">_xlfn.IFS(Table1[[#This Row],[IMDB_Rating]]&gt;=9,"Masterpiece",Table1[[#This Row],[IMDB_Rating]]&gt;=8,"Excellent",Table1[[#This Row],[IMDB_Rating]]&gt;=7,"Good",Table1[[#This Row],[IMDB_Rating]]&lt;7,"Average")</f>
        <v>Good</v>
      </c>
    </row>
    <row r="853" spans="1:11" x14ac:dyDescent="0.35">
      <c r="A853" t="s">
        <v>114</v>
      </c>
      <c r="B853">
        <v>2002</v>
      </c>
      <c r="C853">
        <v>150</v>
      </c>
      <c r="D853" t="s">
        <v>34</v>
      </c>
      <c r="E853">
        <v>8.5</v>
      </c>
      <c r="F853" t="s">
        <v>115</v>
      </c>
      <c r="G853" t="s">
        <v>116</v>
      </c>
      <c r="H853">
        <v>729603</v>
      </c>
      <c r="I853">
        <v>32572577</v>
      </c>
      <c r="J853">
        <v>85</v>
      </c>
      <c r="K853" t="str" cm="1">
        <f t="array" ref="K8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4" spans="1:11" x14ac:dyDescent="0.35">
      <c r="A854" t="s">
        <v>806</v>
      </c>
      <c r="B854">
        <v>2014</v>
      </c>
      <c r="C854">
        <v>150</v>
      </c>
      <c r="D854" t="s">
        <v>19</v>
      </c>
      <c r="E854">
        <v>8</v>
      </c>
      <c r="F854" t="s">
        <v>807</v>
      </c>
      <c r="G854" t="s">
        <v>808</v>
      </c>
      <c r="H854">
        <v>114316</v>
      </c>
      <c r="I854">
        <v>2625803</v>
      </c>
      <c r="J854">
        <v>71</v>
      </c>
      <c r="K854" t="str" cm="1">
        <f t="array" ref="K854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5" spans="1:11" x14ac:dyDescent="0.35">
      <c r="A855" t="s">
        <v>113</v>
      </c>
      <c r="B855">
        <v>2006</v>
      </c>
      <c r="C855">
        <v>151</v>
      </c>
      <c r="D855" t="s">
        <v>15</v>
      </c>
      <c r="E855">
        <v>8.5</v>
      </c>
      <c r="F855" t="s">
        <v>55</v>
      </c>
      <c r="G855" t="s">
        <v>38</v>
      </c>
      <c r="H855">
        <v>1189773</v>
      </c>
      <c r="I855">
        <v>132384315</v>
      </c>
      <c r="J855">
        <v>85</v>
      </c>
      <c r="K855" t="str" cm="1">
        <f t="array" ref="K8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6" spans="1:11" x14ac:dyDescent="0.35">
      <c r="A856" t="s">
        <v>996</v>
      </c>
      <c r="B856">
        <v>1973</v>
      </c>
      <c r="C856">
        <v>151</v>
      </c>
      <c r="D856" t="s">
        <v>34</v>
      </c>
      <c r="E856">
        <v>8</v>
      </c>
      <c r="F856" t="s">
        <v>997</v>
      </c>
      <c r="G856" t="s">
        <v>450</v>
      </c>
      <c r="H856">
        <v>121627</v>
      </c>
      <c r="I856">
        <v>53267000</v>
      </c>
      <c r="J856">
        <v>58</v>
      </c>
      <c r="K856" t="str" cm="1">
        <f t="array" ref="K8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7" spans="1:11" x14ac:dyDescent="0.35">
      <c r="A857" t="s">
        <v>534</v>
      </c>
      <c r="B857">
        <v>2012</v>
      </c>
      <c r="C857">
        <v>151</v>
      </c>
      <c r="D857" t="s">
        <v>67</v>
      </c>
      <c r="E857">
        <v>8.1</v>
      </c>
      <c r="F857" t="s">
        <v>535</v>
      </c>
      <c r="G857" t="s">
        <v>536</v>
      </c>
      <c r="H857">
        <v>75721</v>
      </c>
      <c r="I857">
        <v>2804874</v>
      </c>
      <c r="K857" t="str" cm="1">
        <f t="array" ref="K85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58" spans="1:11" x14ac:dyDescent="0.35">
      <c r="A858" t="s">
        <v>18</v>
      </c>
      <c r="B858">
        <v>2008</v>
      </c>
      <c r="C858">
        <v>152</v>
      </c>
      <c r="D858" t="s">
        <v>19</v>
      </c>
      <c r="E858">
        <v>9</v>
      </c>
      <c r="F858" t="s">
        <v>20</v>
      </c>
      <c r="G858" t="s">
        <v>21</v>
      </c>
      <c r="H858">
        <v>2303232</v>
      </c>
      <c r="I858">
        <v>534858444</v>
      </c>
      <c r="J858">
        <v>84</v>
      </c>
      <c r="K858" t="str" cm="1">
        <f t="array" ref="K858">_xlfn.IFS(Table1[[#This Row],[IMDB_Rating]]&gt;=9,"Masterpiece",Table1[[#This Row],[IMDB_Rating]]&gt;=8,"Excellent",Table1[[#This Row],[IMDB_Rating]]&gt;=7,"Good",Table1[[#This Row],[IMDB_Rating]]&lt;7,"Average")</f>
        <v>Masterpiece</v>
      </c>
    </row>
    <row r="859" spans="1:11" x14ac:dyDescent="0.35">
      <c r="A859" t="s">
        <v>2094</v>
      </c>
      <c r="B859">
        <v>2001</v>
      </c>
      <c r="C859">
        <v>152</v>
      </c>
      <c r="D859" t="s">
        <v>74</v>
      </c>
      <c r="E859">
        <v>7.6</v>
      </c>
      <c r="F859" t="s">
        <v>2095</v>
      </c>
      <c r="G859" t="s">
        <v>564</v>
      </c>
      <c r="H859">
        <v>658185</v>
      </c>
      <c r="I859">
        <v>317575550</v>
      </c>
      <c r="J859">
        <v>64</v>
      </c>
      <c r="K859" t="str" cm="1">
        <f t="array" ref="K859">_xlfn.IFS(Table1[[#This Row],[IMDB_Rating]]&gt;=9,"Masterpiece",Table1[[#This Row],[IMDB_Rating]]&gt;=8,"Excellent",Table1[[#This Row],[IMDB_Rating]]&gt;=7,"Good",Table1[[#This Row],[IMDB_Rating]]&lt;7,"Average")</f>
        <v>Good</v>
      </c>
    </row>
    <row r="860" spans="1:11" x14ac:dyDescent="0.35">
      <c r="A860" t="s">
        <v>541</v>
      </c>
      <c r="B860">
        <v>2019</v>
      </c>
      <c r="C860">
        <v>152</v>
      </c>
      <c r="D860" t="s">
        <v>19</v>
      </c>
      <c r="E860">
        <v>8.1</v>
      </c>
      <c r="F860" t="s">
        <v>505</v>
      </c>
      <c r="G860" t="s">
        <v>542</v>
      </c>
      <c r="H860">
        <v>291289</v>
      </c>
      <c r="I860">
        <v>117624028</v>
      </c>
      <c r="J860">
        <v>81</v>
      </c>
      <c r="K860" t="str" cm="1">
        <f t="array" ref="K8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61" spans="1:11" x14ac:dyDescent="0.35">
      <c r="A861" t="s">
        <v>1762</v>
      </c>
      <c r="B861">
        <v>2004</v>
      </c>
      <c r="C861">
        <v>152</v>
      </c>
      <c r="D861" t="s">
        <v>34</v>
      </c>
      <c r="E861">
        <v>7.7</v>
      </c>
      <c r="F861" t="s">
        <v>951</v>
      </c>
      <c r="G861" t="s">
        <v>180</v>
      </c>
      <c r="H861">
        <v>138356</v>
      </c>
      <c r="I861">
        <v>75331600</v>
      </c>
      <c r="J861">
        <v>73</v>
      </c>
      <c r="K861" t="str" cm="1">
        <f t="array" ref="K861">_xlfn.IFS(Table1[[#This Row],[IMDB_Rating]]&gt;=9,"Masterpiece",Table1[[#This Row],[IMDB_Rating]]&gt;=8,"Excellent",Table1[[#This Row],[IMDB_Rating]]&gt;=7,"Good",Table1[[#This Row],[IMDB_Rating]]&lt;7,"Average")</f>
        <v>Good</v>
      </c>
    </row>
    <row r="862" spans="1:11" x14ac:dyDescent="0.35">
      <c r="A862" t="s">
        <v>1410</v>
      </c>
      <c r="B862">
        <v>2009</v>
      </c>
      <c r="C862">
        <v>152</v>
      </c>
      <c r="D862" t="s">
        <v>15</v>
      </c>
      <c r="E862">
        <v>7.8</v>
      </c>
      <c r="F862" t="s">
        <v>1411</v>
      </c>
      <c r="G862" t="s">
        <v>1412</v>
      </c>
      <c r="H862">
        <v>208994</v>
      </c>
      <c r="I862">
        <v>10095170</v>
      </c>
      <c r="J862">
        <v>76</v>
      </c>
      <c r="K862" t="str" cm="1">
        <f t="array" ref="K862">_xlfn.IFS(Table1[[#This Row],[IMDB_Rating]]&gt;=9,"Masterpiece",Table1[[#This Row],[IMDB_Rating]]&gt;=8,"Excellent",Table1[[#This Row],[IMDB_Rating]]&gt;=7,"Good",Table1[[#This Row],[IMDB_Rating]]&lt;7,"Average")</f>
        <v>Good</v>
      </c>
    </row>
    <row r="863" spans="1:11" x14ac:dyDescent="0.35">
      <c r="A863" t="s">
        <v>1077</v>
      </c>
      <c r="B863">
        <v>1930</v>
      </c>
      <c r="C863">
        <v>152</v>
      </c>
      <c r="D863" t="s">
        <v>11</v>
      </c>
      <c r="E863">
        <v>8</v>
      </c>
      <c r="F863" t="s">
        <v>1078</v>
      </c>
      <c r="G863" t="s">
        <v>1079</v>
      </c>
      <c r="H863">
        <v>57318</v>
      </c>
      <c r="I863">
        <v>3270000</v>
      </c>
      <c r="J863">
        <v>91</v>
      </c>
      <c r="K863" t="str" cm="1">
        <f t="array" ref="K863">_xlfn.IFS(Table1[[#This Row],[IMDB_Rating]]&gt;=9,"Masterpiece",Table1[[#This Row],[IMDB_Rating]]&gt;=8,"Excellent",Table1[[#This Row],[IMDB_Rating]]&gt;=7,"Good",Table1[[#This Row],[IMDB_Rating]]&lt;7,"Average")</f>
        <v>Excellent</v>
      </c>
    </row>
    <row r="864" spans="1:11" x14ac:dyDescent="0.35">
      <c r="A864" t="s">
        <v>70</v>
      </c>
      <c r="B864">
        <v>2020</v>
      </c>
      <c r="C864">
        <v>153</v>
      </c>
      <c r="D864" t="s">
        <v>11</v>
      </c>
      <c r="E864">
        <v>8.6</v>
      </c>
      <c r="F864" t="s">
        <v>71</v>
      </c>
      <c r="G864" t="s">
        <v>72</v>
      </c>
      <c r="H864">
        <v>54995</v>
      </c>
      <c r="I864">
        <v>556832648</v>
      </c>
      <c r="K864" t="str" cm="1">
        <f t="array" ref="K864">_xlfn.IFS(Table1[[#This Row],[IMDB_Rating]]&gt;=9,"Masterpiece",Table1[[#This Row],[IMDB_Rating]]&gt;=8,"Excellent",Table1[[#This Row],[IMDB_Rating]]&gt;=7,"Good",Table1[[#This Row],[IMDB_Rating]]&lt;7,"Average")</f>
        <v>Excellent</v>
      </c>
    </row>
    <row r="865" spans="1:11" x14ac:dyDescent="0.35">
      <c r="A865" t="s">
        <v>2057</v>
      </c>
      <c r="B865">
        <v>2009</v>
      </c>
      <c r="C865">
        <v>153</v>
      </c>
      <c r="D865" t="s">
        <v>19</v>
      </c>
      <c r="E865">
        <v>7.6</v>
      </c>
      <c r="F865" t="s">
        <v>563</v>
      </c>
      <c r="G865" t="s">
        <v>564</v>
      </c>
      <c r="H865">
        <v>474827</v>
      </c>
      <c r="I865">
        <v>301959197</v>
      </c>
      <c r="J865">
        <v>78</v>
      </c>
      <c r="K865" t="str" cm="1">
        <f t="array" ref="K865">_xlfn.IFS(Table1[[#This Row],[IMDB_Rating]]&gt;=9,"Masterpiece",Table1[[#This Row],[IMDB_Rating]]&gt;=8,"Excellent",Table1[[#This Row],[IMDB_Rating]]&gt;=7,"Good",Table1[[#This Row],[IMDB_Rating]]&lt;7,"Average")</f>
        <v>Good</v>
      </c>
    </row>
    <row r="866" spans="1:11" x14ac:dyDescent="0.35">
      <c r="A866" t="s">
        <v>250</v>
      </c>
      <c r="B866">
        <v>2009</v>
      </c>
      <c r="C866">
        <v>153</v>
      </c>
      <c r="D866" t="s">
        <v>74</v>
      </c>
      <c r="E866">
        <v>8.3000000000000007</v>
      </c>
      <c r="F866" t="s">
        <v>31</v>
      </c>
      <c r="G866" t="s">
        <v>41</v>
      </c>
      <c r="H866">
        <v>1267869</v>
      </c>
      <c r="I866">
        <v>120540719</v>
      </c>
      <c r="J866">
        <v>69</v>
      </c>
      <c r="K866" t="str" cm="1">
        <f t="array" ref="K86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67" spans="1:11" x14ac:dyDescent="0.35">
      <c r="A867" t="s">
        <v>555</v>
      </c>
      <c r="B867">
        <v>2013</v>
      </c>
      <c r="C867">
        <v>153</v>
      </c>
      <c r="D867" t="s">
        <v>15</v>
      </c>
      <c r="E867">
        <v>8.1</v>
      </c>
      <c r="F867" t="s">
        <v>242</v>
      </c>
      <c r="G867" t="s">
        <v>506</v>
      </c>
      <c r="H867">
        <v>601149</v>
      </c>
      <c r="I867">
        <v>61002302</v>
      </c>
      <c r="J867">
        <v>70</v>
      </c>
      <c r="K867" t="str" cm="1">
        <f t="array" ref="K86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68" spans="1:11" x14ac:dyDescent="0.35">
      <c r="A868" t="s">
        <v>1867</v>
      </c>
      <c r="B868">
        <v>1987</v>
      </c>
      <c r="C868">
        <v>153</v>
      </c>
      <c r="D868" t="s">
        <v>19</v>
      </c>
      <c r="E868">
        <v>7.7</v>
      </c>
      <c r="F868" t="s">
        <v>35</v>
      </c>
      <c r="G868" t="s">
        <v>21</v>
      </c>
      <c r="H868">
        <v>115677</v>
      </c>
      <c r="I868">
        <v>22238696</v>
      </c>
      <c r="J868">
        <v>62</v>
      </c>
      <c r="K868" t="str" cm="1">
        <f t="array" ref="K868">_xlfn.IFS(Table1[[#This Row],[IMDB_Rating]]&gt;=9,"Masterpiece",Table1[[#This Row],[IMDB_Rating]]&gt;=8,"Excellent",Table1[[#This Row],[IMDB_Rating]]&gt;=7,"Good",Table1[[#This Row],[IMDB_Rating]]&lt;7,"Average")</f>
        <v>Good</v>
      </c>
    </row>
    <row r="869" spans="1:11" x14ac:dyDescent="0.35">
      <c r="A869" t="s">
        <v>518</v>
      </c>
      <c r="B869">
        <v>2014</v>
      </c>
      <c r="C869">
        <v>153</v>
      </c>
      <c r="D869" t="s">
        <v>67</v>
      </c>
      <c r="E869">
        <v>8.1</v>
      </c>
      <c r="F869" t="s">
        <v>183</v>
      </c>
      <c r="G869" t="s">
        <v>168</v>
      </c>
      <c r="H869">
        <v>163061</v>
      </c>
      <c r="I869">
        <v>10616104</v>
      </c>
      <c r="K869" t="str" cm="1">
        <f t="array" ref="K869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0" spans="1:11" x14ac:dyDescent="0.35">
      <c r="A870" t="s">
        <v>323</v>
      </c>
      <c r="B870">
        <v>1927</v>
      </c>
      <c r="C870">
        <v>153</v>
      </c>
      <c r="D870" t="s">
        <v>11</v>
      </c>
      <c r="E870">
        <v>8.3000000000000007</v>
      </c>
      <c r="F870" t="s">
        <v>321</v>
      </c>
      <c r="G870" t="s">
        <v>324</v>
      </c>
      <c r="H870">
        <v>159992</v>
      </c>
      <c r="I870">
        <v>1236166</v>
      </c>
      <c r="J870">
        <v>98</v>
      </c>
      <c r="K870" t="str" cm="1">
        <f t="array" ref="K87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1" spans="1:11" x14ac:dyDescent="0.35">
      <c r="A871" t="s">
        <v>379</v>
      </c>
      <c r="B871">
        <v>2007</v>
      </c>
      <c r="C871">
        <v>153</v>
      </c>
      <c r="D871" t="s">
        <v>11</v>
      </c>
      <c r="E871">
        <v>8.1999999999999993</v>
      </c>
      <c r="F871" t="s">
        <v>380</v>
      </c>
      <c r="G871" t="s">
        <v>381</v>
      </c>
      <c r="H871">
        <v>74129</v>
      </c>
      <c r="I871">
        <v>1113541</v>
      </c>
      <c r="J871">
        <v>68</v>
      </c>
      <c r="K871" t="str" cm="1">
        <f t="array" ref="K8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2" spans="1:11" x14ac:dyDescent="0.35">
      <c r="A872" t="s">
        <v>1770</v>
      </c>
      <c r="B872">
        <v>2003</v>
      </c>
      <c r="C872">
        <v>154</v>
      </c>
      <c r="D872" t="s">
        <v>19</v>
      </c>
      <c r="E872">
        <v>7.7</v>
      </c>
      <c r="F872" t="s">
        <v>863</v>
      </c>
      <c r="G872" t="s">
        <v>917</v>
      </c>
      <c r="H872">
        <v>400049</v>
      </c>
      <c r="I872">
        <v>111110575</v>
      </c>
      <c r="J872">
        <v>55</v>
      </c>
      <c r="K872" t="str" cm="1">
        <f t="array" ref="K872">_xlfn.IFS(Table1[[#This Row],[IMDB_Rating]]&gt;=9,"Masterpiece",Table1[[#This Row],[IMDB_Rating]]&gt;=8,"Excellent",Table1[[#This Row],[IMDB_Rating]]&gt;=7,"Good",Table1[[#This Row],[IMDB_Rating]]&lt;7,"Average")</f>
        <v>Good</v>
      </c>
    </row>
    <row r="873" spans="1:11" x14ac:dyDescent="0.35">
      <c r="A873" t="s">
        <v>30</v>
      </c>
      <c r="B873">
        <v>1994</v>
      </c>
      <c r="C873">
        <v>154</v>
      </c>
      <c r="D873" t="s">
        <v>15</v>
      </c>
      <c r="E873">
        <v>8.9</v>
      </c>
      <c r="F873" t="s">
        <v>31</v>
      </c>
      <c r="G873" t="s">
        <v>32</v>
      </c>
      <c r="H873">
        <v>1826188</v>
      </c>
      <c r="I873">
        <v>107928762</v>
      </c>
      <c r="J873">
        <v>94</v>
      </c>
      <c r="K873" t="str" cm="1">
        <f t="array" ref="K8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4" spans="1:11" x14ac:dyDescent="0.35">
      <c r="A874" t="s">
        <v>1555</v>
      </c>
      <c r="B874">
        <v>1985</v>
      </c>
      <c r="C874">
        <v>154</v>
      </c>
      <c r="D874" t="s">
        <v>11</v>
      </c>
      <c r="E874">
        <v>7.8</v>
      </c>
      <c r="F874" t="s">
        <v>35</v>
      </c>
      <c r="G874" t="s">
        <v>1556</v>
      </c>
      <c r="H874">
        <v>78321</v>
      </c>
      <c r="I874">
        <v>98467863</v>
      </c>
      <c r="J874">
        <v>78</v>
      </c>
      <c r="K874" t="str" cm="1">
        <f t="array" ref="K874">_xlfn.IFS(Table1[[#This Row],[IMDB_Rating]]&gt;=9,"Masterpiece",Table1[[#This Row],[IMDB_Rating]]&gt;=8,"Excellent",Table1[[#This Row],[IMDB_Rating]]&gt;=7,"Good",Table1[[#This Row],[IMDB_Rating]]&lt;7,"Average")</f>
        <v>Good</v>
      </c>
    </row>
    <row r="875" spans="1:11" x14ac:dyDescent="0.35">
      <c r="A875" t="s">
        <v>801</v>
      </c>
      <c r="B875">
        <v>2019</v>
      </c>
      <c r="C875">
        <v>154</v>
      </c>
      <c r="D875" t="s">
        <v>11</v>
      </c>
      <c r="E875">
        <v>8</v>
      </c>
      <c r="F875" t="s">
        <v>553</v>
      </c>
      <c r="G875" t="s">
        <v>802</v>
      </c>
      <c r="H875">
        <v>31886</v>
      </c>
      <c r="I875">
        <v>5566534</v>
      </c>
      <c r="J875">
        <v>65</v>
      </c>
      <c r="K875" t="str" cm="1">
        <f t="array" ref="K87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6" spans="1:11" x14ac:dyDescent="0.35">
      <c r="A876" t="s">
        <v>603</v>
      </c>
      <c r="B876">
        <v>2000</v>
      </c>
      <c r="C876">
        <v>154</v>
      </c>
      <c r="D876" t="s">
        <v>11</v>
      </c>
      <c r="E876">
        <v>8.1</v>
      </c>
      <c r="F876" t="s">
        <v>604</v>
      </c>
      <c r="G876" t="s">
        <v>605</v>
      </c>
      <c r="H876">
        <v>223741</v>
      </c>
      <c r="I876">
        <v>5383834</v>
      </c>
      <c r="J876">
        <v>83</v>
      </c>
      <c r="K876" t="str" cm="1">
        <f t="array" ref="K87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7" spans="1:11" x14ac:dyDescent="0.35">
      <c r="A877" t="s">
        <v>117</v>
      </c>
      <c r="B877">
        <v>2000</v>
      </c>
      <c r="C877">
        <v>155</v>
      </c>
      <c r="D877" t="s">
        <v>19</v>
      </c>
      <c r="E877">
        <v>8.5</v>
      </c>
      <c r="F877" t="s">
        <v>118</v>
      </c>
      <c r="G877" t="s">
        <v>119</v>
      </c>
      <c r="H877">
        <v>1341460</v>
      </c>
      <c r="I877">
        <v>187705427</v>
      </c>
      <c r="J877">
        <v>67</v>
      </c>
      <c r="K877" t="str" cm="1">
        <f t="array" ref="K87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78" spans="1:11" x14ac:dyDescent="0.35">
      <c r="A878" t="s">
        <v>1209</v>
      </c>
      <c r="B878">
        <v>1997</v>
      </c>
      <c r="C878">
        <v>155</v>
      </c>
      <c r="D878" t="s">
        <v>11</v>
      </c>
      <c r="E878">
        <v>7.9</v>
      </c>
      <c r="F878" t="s">
        <v>383</v>
      </c>
      <c r="G878" t="s">
        <v>1210</v>
      </c>
      <c r="H878">
        <v>239473</v>
      </c>
      <c r="I878">
        <v>26400640</v>
      </c>
      <c r="J878">
        <v>85</v>
      </c>
      <c r="K878" t="str" cm="1">
        <f t="array" ref="K878">_xlfn.IFS(Table1[[#This Row],[IMDB_Rating]]&gt;=9,"Masterpiece",Table1[[#This Row],[IMDB_Rating]]&gt;=8,"Excellent",Table1[[#This Row],[IMDB_Rating]]&gt;=7,"Good",Table1[[#This Row],[IMDB_Rating]]&lt;7,"Average")</f>
        <v>Good</v>
      </c>
    </row>
    <row r="879" spans="1:11" x14ac:dyDescent="0.35">
      <c r="A879" t="s">
        <v>135</v>
      </c>
      <c r="B879">
        <v>1988</v>
      </c>
      <c r="C879">
        <v>155</v>
      </c>
      <c r="D879" t="s">
        <v>11</v>
      </c>
      <c r="E879">
        <v>8.5</v>
      </c>
      <c r="F879" t="s">
        <v>136</v>
      </c>
      <c r="G879" t="s">
        <v>137</v>
      </c>
      <c r="H879">
        <v>230763</v>
      </c>
      <c r="I879">
        <v>11990401</v>
      </c>
      <c r="J879">
        <v>80</v>
      </c>
      <c r="K879" t="str" cm="1">
        <f t="array" ref="K879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0" spans="1:11" x14ac:dyDescent="0.35">
      <c r="A880" t="s">
        <v>552</v>
      </c>
      <c r="B880">
        <v>2011</v>
      </c>
      <c r="C880">
        <v>155</v>
      </c>
      <c r="D880" t="s">
        <v>67</v>
      </c>
      <c r="E880">
        <v>8.1</v>
      </c>
      <c r="F880" t="s">
        <v>553</v>
      </c>
      <c r="G880" t="s">
        <v>554</v>
      </c>
      <c r="H880">
        <v>67927</v>
      </c>
      <c r="I880">
        <v>3108485</v>
      </c>
      <c r="K880" t="str" cm="1">
        <f t="array" ref="K880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1" spans="1:11" x14ac:dyDescent="0.35">
      <c r="A881" t="s">
        <v>1131</v>
      </c>
      <c r="B881">
        <v>2009</v>
      </c>
      <c r="C881">
        <v>155</v>
      </c>
      <c r="D881" t="s">
        <v>15</v>
      </c>
      <c r="E881">
        <v>7.9</v>
      </c>
      <c r="F881" t="s">
        <v>1132</v>
      </c>
      <c r="G881" t="s">
        <v>1133</v>
      </c>
      <c r="H881">
        <v>93560</v>
      </c>
      <c r="I881">
        <v>2084637</v>
      </c>
      <c r="J881">
        <v>90</v>
      </c>
      <c r="K881" t="str" cm="1">
        <f t="array" ref="K881">_xlfn.IFS(Table1[[#This Row],[IMDB_Rating]]&gt;=9,"Masterpiece",Table1[[#This Row],[IMDB_Rating]]&gt;=8,"Excellent",Table1[[#This Row],[IMDB_Rating]]&gt;=7,"Good",Table1[[#This Row],[IMDB_Rating]]&lt;7,"Average")</f>
        <v>Good</v>
      </c>
    </row>
    <row r="882" spans="1:11" x14ac:dyDescent="0.35">
      <c r="A882" t="s">
        <v>331</v>
      </c>
      <c r="B882">
        <v>2018</v>
      </c>
      <c r="C882">
        <v>156</v>
      </c>
      <c r="D882" t="s">
        <v>19</v>
      </c>
      <c r="E882">
        <v>8.1999999999999993</v>
      </c>
      <c r="F882" t="s">
        <v>332</v>
      </c>
      <c r="G882" t="s">
        <v>333</v>
      </c>
      <c r="H882">
        <v>36680</v>
      </c>
      <c r="I882">
        <v>811875821</v>
      </c>
      <c r="K882" t="str" cm="1">
        <f t="array" ref="K882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3" spans="1:11" x14ac:dyDescent="0.35">
      <c r="A883" t="s">
        <v>820</v>
      </c>
      <c r="B883">
        <v>2015</v>
      </c>
      <c r="C883">
        <v>156</v>
      </c>
      <c r="D883" t="s">
        <v>19</v>
      </c>
      <c r="E883">
        <v>8</v>
      </c>
      <c r="F883" t="s">
        <v>604</v>
      </c>
      <c r="G883" t="s">
        <v>38</v>
      </c>
      <c r="H883">
        <v>705589</v>
      </c>
      <c r="I883">
        <v>183637894</v>
      </c>
      <c r="J883">
        <v>76</v>
      </c>
      <c r="K883" t="str" cm="1">
        <f t="array" ref="K883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4" spans="1:11" x14ac:dyDescent="0.35">
      <c r="A884" t="s">
        <v>406</v>
      </c>
      <c r="B884">
        <v>2000</v>
      </c>
      <c r="C884">
        <v>156</v>
      </c>
      <c r="D884" t="s">
        <v>19</v>
      </c>
      <c r="E884">
        <v>8.1999999999999993</v>
      </c>
      <c r="F884" t="s">
        <v>407</v>
      </c>
      <c r="G884" t="s">
        <v>408</v>
      </c>
      <c r="H884">
        <v>57057</v>
      </c>
      <c r="I884">
        <v>177903165</v>
      </c>
      <c r="K884" t="str" cm="1">
        <f t="array" ref="K884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5" spans="1:11" x14ac:dyDescent="0.35">
      <c r="A885" t="s">
        <v>953</v>
      </c>
      <c r="B885">
        <v>1992</v>
      </c>
      <c r="C885">
        <v>156</v>
      </c>
      <c r="D885" t="s">
        <v>11</v>
      </c>
      <c r="E885">
        <v>8</v>
      </c>
      <c r="F885" t="s">
        <v>954</v>
      </c>
      <c r="G885" t="s">
        <v>23</v>
      </c>
      <c r="H885">
        <v>263918</v>
      </c>
      <c r="I885">
        <v>63895607</v>
      </c>
      <c r="J885">
        <v>59</v>
      </c>
      <c r="K885" t="str" cm="1">
        <f t="array" ref="K88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6" spans="1:11" x14ac:dyDescent="0.35">
      <c r="A886" t="s">
        <v>596</v>
      </c>
      <c r="B886">
        <v>2003</v>
      </c>
      <c r="C886">
        <v>156</v>
      </c>
      <c r="D886" t="s">
        <v>67</v>
      </c>
      <c r="E886">
        <v>8.1</v>
      </c>
      <c r="F886" t="s">
        <v>183</v>
      </c>
      <c r="G886" t="s">
        <v>584</v>
      </c>
      <c r="H886">
        <v>73992</v>
      </c>
      <c r="I886">
        <v>43851222</v>
      </c>
      <c r="K886" t="str" cm="1">
        <f t="array" ref="K886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7" spans="1:11" x14ac:dyDescent="0.35">
      <c r="A887" t="s">
        <v>399</v>
      </c>
      <c r="B887">
        <v>2004</v>
      </c>
      <c r="C887">
        <v>156</v>
      </c>
      <c r="D887" t="s">
        <v>34</v>
      </c>
      <c r="E887">
        <v>8.1999999999999993</v>
      </c>
      <c r="F887" t="s">
        <v>400</v>
      </c>
      <c r="G887" t="s">
        <v>401</v>
      </c>
      <c r="H887">
        <v>331308</v>
      </c>
      <c r="I887">
        <v>5509040</v>
      </c>
      <c r="J887">
        <v>82</v>
      </c>
      <c r="K887" t="str" cm="1">
        <f t="array" ref="K88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88" spans="1:11" x14ac:dyDescent="0.35">
      <c r="A888" t="s">
        <v>1765</v>
      </c>
      <c r="B888">
        <v>2005</v>
      </c>
      <c r="C888">
        <v>157</v>
      </c>
      <c r="D888" t="s">
        <v>74</v>
      </c>
      <c r="E888">
        <v>7.7</v>
      </c>
      <c r="F888" t="s">
        <v>1766</v>
      </c>
      <c r="G888" t="s">
        <v>564</v>
      </c>
      <c r="H888">
        <v>548619</v>
      </c>
      <c r="I888">
        <v>290013036</v>
      </c>
      <c r="J888">
        <v>81</v>
      </c>
      <c r="K888" t="str" cm="1">
        <f t="array" ref="K888">_xlfn.IFS(Table1[[#This Row],[IMDB_Rating]]&gt;=9,"Masterpiece",Table1[[#This Row],[IMDB_Rating]]&gt;=8,"Excellent",Table1[[#This Row],[IMDB_Rating]]&gt;=7,"Good",Table1[[#This Row],[IMDB_Rating]]&lt;7,"Average")</f>
        <v>Good</v>
      </c>
    </row>
    <row r="889" spans="1:11" x14ac:dyDescent="0.35">
      <c r="A889" t="s">
        <v>1435</v>
      </c>
      <c r="B889">
        <v>2007</v>
      </c>
      <c r="C889">
        <v>157</v>
      </c>
      <c r="D889" t="s">
        <v>34</v>
      </c>
      <c r="E889">
        <v>7.8</v>
      </c>
      <c r="F889" t="s">
        <v>118</v>
      </c>
      <c r="G889" t="s">
        <v>1436</v>
      </c>
      <c r="H889">
        <v>392449</v>
      </c>
      <c r="I889">
        <v>130164645</v>
      </c>
      <c r="J889">
        <v>76</v>
      </c>
      <c r="K889" t="str" cm="1">
        <f t="array" ref="K889">_xlfn.IFS(Table1[[#This Row],[IMDB_Rating]]&gt;=9,"Masterpiece",Table1[[#This Row],[IMDB_Rating]]&gt;=8,"Excellent",Table1[[#This Row],[IMDB_Rating]]&gt;=7,"Good",Table1[[#This Row],[IMDB_Rating]]&lt;7,"Average")</f>
        <v>Good</v>
      </c>
    </row>
    <row r="890" spans="1:11" x14ac:dyDescent="0.35">
      <c r="A890" t="s">
        <v>1738</v>
      </c>
      <c r="B890">
        <v>2007</v>
      </c>
      <c r="C890">
        <v>157</v>
      </c>
      <c r="D890" t="s">
        <v>15</v>
      </c>
      <c r="E890">
        <v>7.7</v>
      </c>
      <c r="F890" t="s">
        <v>40</v>
      </c>
      <c r="G890" t="s">
        <v>915</v>
      </c>
      <c r="H890">
        <v>466080</v>
      </c>
      <c r="I890">
        <v>33080084</v>
      </c>
      <c r="J890">
        <v>78</v>
      </c>
      <c r="K890" t="str" cm="1">
        <f t="array" ref="K890">_xlfn.IFS(Table1[[#This Row],[IMDB_Rating]]&gt;=9,"Masterpiece",Table1[[#This Row],[IMDB_Rating]]&gt;=8,"Excellent",Table1[[#This Row],[IMDB_Rating]]&gt;=7,"Good",Table1[[#This Row],[IMDB_Rating]]&lt;7,"Average")</f>
        <v>Good</v>
      </c>
    </row>
    <row r="891" spans="1:11" x14ac:dyDescent="0.35">
      <c r="A891" t="s">
        <v>1490</v>
      </c>
      <c r="B891">
        <v>1999</v>
      </c>
      <c r="C891">
        <v>157</v>
      </c>
      <c r="D891" t="s">
        <v>34</v>
      </c>
      <c r="E891">
        <v>7.8</v>
      </c>
      <c r="F891" t="s">
        <v>417</v>
      </c>
      <c r="G891" t="s">
        <v>119</v>
      </c>
      <c r="H891">
        <v>159886</v>
      </c>
      <c r="I891">
        <v>28965197</v>
      </c>
      <c r="J891">
        <v>84</v>
      </c>
      <c r="K891" t="str" cm="1">
        <f t="array" ref="K891">_xlfn.IFS(Table1[[#This Row],[IMDB_Rating]]&gt;=9,"Masterpiece",Table1[[#This Row],[IMDB_Rating]]&gt;=8,"Excellent",Table1[[#This Row],[IMDB_Rating]]&gt;=7,"Good",Table1[[#This Row],[IMDB_Rating]]&lt;7,"Average")</f>
        <v>Good</v>
      </c>
    </row>
    <row r="892" spans="1:11" x14ac:dyDescent="0.35">
      <c r="A892" t="s">
        <v>2171</v>
      </c>
      <c r="B892">
        <v>1971</v>
      </c>
      <c r="C892">
        <v>157</v>
      </c>
      <c r="D892" t="s">
        <v>11</v>
      </c>
      <c r="E892">
        <v>7.6</v>
      </c>
      <c r="F892" t="s">
        <v>48</v>
      </c>
      <c r="G892" t="s">
        <v>2172</v>
      </c>
      <c r="H892">
        <v>30144</v>
      </c>
      <c r="I892">
        <v>696690</v>
      </c>
      <c r="J892">
        <v>77</v>
      </c>
      <c r="K892" t="str" cm="1">
        <f t="array" ref="K892">_xlfn.IFS(Table1[[#This Row],[IMDB_Rating]]&gt;=9,"Masterpiece",Table1[[#This Row],[IMDB_Rating]]&gt;=8,"Excellent",Table1[[#This Row],[IMDB_Rating]]&gt;=7,"Good",Table1[[#This Row],[IMDB_Rating]]&lt;7,"Average")</f>
        <v>Good</v>
      </c>
    </row>
    <row r="893" spans="1:11" x14ac:dyDescent="0.35">
      <c r="A893" t="s">
        <v>1121</v>
      </c>
      <c r="B893">
        <v>2011</v>
      </c>
      <c r="C893">
        <v>157</v>
      </c>
      <c r="D893" t="s">
        <v>15</v>
      </c>
      <c r="E893">
        <v>7.9</v>
      </c>
      <c r="F893" t="s">
        <v>516</v>
      </c>
      <c r="G893" t="s">
        <v>1122</v>
      </c>
      <c r="H893">
        <v>41995</v>
      </c>
      <c r="I893">
        <v>138730</v>
      </c>
      <c r="J893">
        <v>82</v>
      </c>
      <c r="K893" t="str" cm="1">
        <f t="array" ref="K893">_xlfn.IFS(Table1[[#This Row],[IMDB_Rating]]&gt;=9,"Masterpiece",Table1[[#This Row],[IMDB_Rating]]&gt;=8,"Excellent",Table1[[#This Row],[IMDB_Rating]]&gt;=7,"Good",Table1[[#This Row],[IMDB_Rating]]&lt;7,"Average")</f>
        <v>Good</v>
      </c>
    </row>
    <row r="894" spans="1:11" x14ac:dyDescent="0.35">
      <c r="A894" t="s">
        <v>1909</v>
      </c>
      <c r="B894">
        <v>1968</v>
      </c>
      <c r="C894">
        <v>158</v>
      </c>
      <c r="D894" t="s">
        <v>19</v>
      </c>
      <c r="E894">
        <v>7.7</v>
      </c>
      <c r="F894" t="s">
        <v>1910</v>
      </c>
      <c r="G894" t="s">
        <v>1911</v>
      </c>
      <c r="H894">
        <v>51913</v>
      </c>
      <c r="I894">
        <v>856773674</v>
      </c>
      <c r="J894">
        <v>63</v>
      </c>
      <c r="K894" t="str" cm="1">
        <f t="array" ref="K894">_xlfn.IFS(Table1[[#This Row],[IMDB_Rating]]&gt;=9,"Masterpiece",Table1[[#This Row],[IMDB_Rating]]&gt;=8,"Excellent",Table1[[#This Row],[IMDB_Rating]]&gt;=7,"Good",Table1[[#This Row],[IMDB_Rating]]&lt;7,"Average")</f>
        <v>Good</v>
      </c>
    </row>
    <row r="895" spans="1:11" x14ac:dyDescent="0.35">
      <c r="A895" t="s">
        <v>669</v>
      </c>
      <c r="B895">
        <v>1982</v>
      </c>
      <c r="C895">
        <v>158</v>
      </c>
      <c r="D895" t="s">
        <v>74</v>
      </c>
      <c r="E895">
        <v>8.1</v>
      </c>
      <c r="F895" t="s">
        <v>670</v>
      </c>
      <c r="G895" t="s">
        <v>671</v>
      </c>
      <c r="H895">
        <v>31595</v>
      </c>
      <c r="I895">
        <v>616558047</v>
      </c>
      <c r="K895" t="str" cm="1">
        <f t="array" ref="K895">_xlfn.IFS(Table1[[#This Row],[IMDB_Rating]]&gt;=9,"Masterpiece",Table1[[#This Row],[IMDB_Rating]]&gt;=8,"Excellent",Table1[[#This Row],[IMDB_Rating]]&gt;=7,"Good",Table1[[#This Row],[IMDB_Rating]]&lt;7,"Average")</f>
        <v>Excellent</v>
      </c>
    </row>
    <row r="896" spans="1:11" x14ac:dyDescent="0.35">
      <c r="A896" t="s">
        <v>1393</v>
      </c>
      <c r="B896">
        <v>2011</v>
      </c>
      <c r="C896">
        <v>158</v>
      </c>
      <c r="D896" t="s">
        <v>15</v>
      </c>
      <c r="E896">
        <v>7.8</v>
      </c>
      <c r="F896" t="s">
        <v>40</v>
      </c>
      <c r="G896" t="s">
        <v>882</v>
      </c>
      <c r="H896">
        <v>423010</v>
      </c>
      <c r="I896">
        <v>102515793</v>
      </c>
      <c r="J896">
        <v>71</v>
      </c>
      <c r="K896" t="str" cm="1">
        <f t="array" ref="K896">_xlfn.IFS(Table1[[#This Row],[IMDB_Rating]]&gt;=9,"Masterpiece",Table1[[#This Row],[IMDB_Rating]]&gt;=8,"Excellent",Table1[[#This Row],[IMDB_Rating]]&gt;=7,"Good",Table1[[#This Row],[IMDB_Rating]]&lt;7,"Average")</f>
        <v>Good</v>
      </c>
    </row>
    <row r="897" spans="1:11" x14ac:dyDescent="0.35">
      <c r="A897" t="s">
        <v>382</v>
      </c>
      <c r="B897">
        <v>2007</v>
      </c>
      <c r="C897">
        <v>158</v>
      </c>
      <c r="D897" t="s">
        <v>11</v>
      </c>
      <c r="E897">
        <v>8.1999999999999993</v>
      </c>
      <c r="F897" t="s">
        <v>383</v>
      </c>
      <c r="G897" t="s">
        <v>384</v>
      </c>
      <c r="H897">
        <v>517359</v>
      </c>
      <c r="I897">
        <v>40222514</v>
      </c>
      <c r="J897">
        <v>93</v>
      </c>
      <c r="K897" t="str" cm="1">
        <f t="array" ref="K897">_xlfn.IFS(Table1[[#This Row],[IMDB_Rating]]&gt;=9,"Masterpiece",Table1[[#This Row],[IMDB_Rating]]&gt;=8,"Excellent",Table1[[#This Row],[IMDB_Rating]]&gt;=7,"Good",Table1[[#This Row],[IMDB_Rating]]&lt;7,"Average")</f>
        <v>Excellent</v>
      </c>
    </row>
    <row r="898" spans="1:11" x14ac:dyDescent="0.35">
      <c r="A898" t="s">
        <v>785</v>
      </c>
      <c r="B898">
        <v>2015</v>
      </c>
      <c r="C898">
        <v>159</v>
      </c>
      <c r="D898" t="s">
        <v>19</v>
      </c>
      <c r="E898">
        <v>8</v>
      </c>
      <c r="F898" t="s">
        <v>559</v>
      </c>
      <c r="G898" t="s">
        <v>408</v>
      </c>
      <c r="H898">
        <v>52848</v>
      </c>
      <c r="I898">
        <v>223025817</v>
      </c>
      <c r="K898" t="str" cm="1">
        <f t="array" ref="K898">_xlfn.IFS(Table1[[#This Row],[IMDB_Rating]]&gt;=9,"Masterpiece",Table1[[#This Row],[IMDB_Rating]]&gt;=8,"Excellent",Table1[[#This Row],[IMDB_Rating]]&gt;=7,"Good",Table1[[#This Row],[IMDB_Rating]]&lt;7,"Average")</f>
        <v>Excellent</v>
      </c>
    </row>
    <row r="899" spans="1:11" x14ac:dyDescent="0.35">
      <c r="A899" t="s">
        <v>795</v>
      </c>
      <c r="B899">
        <v>2015</v>
      </c>
      <c r="C899">
        <v>159</v>
      </c>
      <c r="D899" t="s">
        <v>19</v>
      </c>
      <c r="E899">
        <v>8</v>
      </c>
      <c r="F899" t="s">
        <v>344</v>
      </c>
      <c r="G899" t="s">
        <v>345</v>
      </c>
      <c r="H899">
        <v>102972</v>
      </c>
      <c r="I899">
        <v>6738000</v>
      </c>
      <c r="K899" t="str" cm="1">
        <f t="array" ref="K8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00" spans="1:11" x14ac:dyDescent="0.35">
      <c r="A900" t="s">
        <v>1503</v>
      </c>
      <c r="B900">
        <v>1996</v>
      </c>
      <c r="C900">
        <v>159</v>
      </c>
      <c r="D900" t="s">
        <v>11</v>
      </c>
      <c r="E900">
        <v>7.8</v>
      </c>
      <c r="F900" t="s">
        <v>909</v>
      </c>
      <c r="G900" t="s">
        <v>1504</v>
      </c>
      <c r="H900">
        <v>62428</v>
      </c>
      <c r="I900">
        <v>4040691</v>
      </c>
      <c r="J900">
        <v>76</v>
      </c>
      <c r="K900" t="str" cm="1">
        <f t="array" ref="K900">_xlfn.IFS(Table1[[#This Row],[IMDB_Rating]]&gt;=9,"Masterpiece",Table1[[#This Row],[IMDB_Rating]]&gt;=8,"Excellent",Table1[[#This Row],[IMDB_Rating]]&gt;=7,"Good",Table1[[#This Row],[IMDB_Rating]]&lt;7,"Average")</f>
        <v>Good</v>
      </c>
    </row>
    <row r="901" spans="1:11" x14ac:dyDescent="0.35">
      <c r="A901" t="s">
        <v>1678</v>
      </c>
      <c r="B901">
        <v>2011</v>
      </c>
      <c r="C901">
        <v>159</v>
      </c>
      <c r="D901" t="s">
        <v>11</v>
      </c>
      <c r="E901">
        <v>7.7</v>
      </c>
      <c r="F901" t="s">
        <v>1146</v>
      </c>
      <c r="G901" t="s">
        <v>536</v>
      </c>
      <c r="H901">
        <v>39501</v>
      </c>
      <c r="I901">
        <v>985912</v>
      </c>
      <c r="K901" t="str" cm="1">
        <f t="array" ref="K901">_xlfn.IFS(Table1[[#This Row],[IMDB_Rating]]&gt;=9,"Masterpiece",Table1[[#This Row],[IMDB_Rating]]&gt;=8,"Excellent",Table1[[#This Row],[IMDB_Rating]]&gt;=7,"Good",Table1[[#This Row],[IMDB_Rating]]&lt;7,"Average")</f>
        <v>Good</v>
      </c>
    </row>
    <row r="902" spans="1:11" x14ac:dyDescent="0.35">
      <c r="A902" t="s">
        <v>63</v>
      </c>
      <c r="B902">
        <v>2020</v>
      </c>
      <c r="C902">
        <v>160</v>
      </c>
      <c r="D902" t="s">
        <v>34</v>
      </c>
      <c r="E902">
        <v>8.6</v>
      </c>
      <c r="F902" t="s">
        <v>64</v>
      </c>
      <c r="G902" t="s">
        <v>65</v>
      </c>
      <c r="H902">
        <v>55291</v>
      </c>
      <c r="I902">
        <v>440984783</v>
      </c>
      <c r="J902">
        <v>90</v>
      </c>
      <c r="K902" t="str" cm="1">
        <f t="array" ref="K90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03" spans="1:11" x14ac:dyDescent="0.35">
      <c r="A903" t="s">
        <v>419</v>
      </c>
      <c r="B903">
        <v>1994</v>
      </c>
      <c r="C903">
        <v>160</v>
      </c>
      <c r="D903" t="s">
        <v>19</v>
      </c>
      <c r="E903">
        <v>8.1999999999999993</v>
      </c>
      <c r="F903" t="s">
        <v>420</v>
      </c>
      <c r="G903" t="s">
        <v>168</v>
      </c>
      <c r="H903">
        <v>49300</v>
      </c>
      <c r="I903">
        <v>213351844</v>
      </c>
      <c r="K903" t="str" cm="1">
        <f t="array" ref="K90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04" spans="1:11" x14ac:dyDescent="0.35">
      <c r="A904" t="s">
        <v>282</v>
      </c>
      <c r="B904">
        <v>1984</v>
      </c>
      <c r="C904">
        <v>160</v>
      </c>
      <c r="D904" t="s">
        <v>34</v>
      </c>
      <c r="E904">
        <v>8.3000000000000007</v>
      </c>
      <c r="F904" t="s">
        <v>61</v>
      </c>
      <c r="G904" t="s">
        <v>283</v>
      </c>
      <c r="H904">
        <v>369007</v>
      </c>
      <c r="I904">
        <v>51973029</v>
      </c>
      <c r="J904">
        <v>88</v>
      </c>
      <c r="K904" t="str" cm="1">
        <f t="array" ref="K904">_xlfn.IFS(Table1[[#This Row],[IMDB_Rating]]&gt;=9,"Masterpiece",Table1[[#This Row],[IMDB_Rating]]&gt;=8,"Excellent",Table1[[#This Row],[IMDB_Rating]]&gt;=7,"Good",Table1[[#This Row],[IMDB_Rating]]&lt;7,"Average")</f>
        <v>Excellent</v>
      </c>
    </row>
    <row r="905" spans="1:11" x14ac:dyDescent="0.35">
      <c r="A905" t="s">
        <v>232</v>
      </c>
      <c r="B905">
        <v>2013</v>
      </c>
      <c r="C905">
        <v>160</v>
      </c>
      <c r="D905" t="s">
        <v>15</v>
      </c>
      <c r="E905">
        <v>8.3000000000000007</v>
      </c>
      <c r="F905" t="s">
        <v>233</v>
      </c>
      <c r="G905" t="s">
        <v>234</v>
      </c>
      <c r="H905">
        <v>30722</v>
      </c>
      <c r="I905">
        <v>11339376</v>
      </c>
      <c r="K905" t="str" cm="1">
        <f t="array" ref="K90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06" spans="1:11" x14ac:dyDescent="0.35">
      <c r="A906" t="s">
        <v>501</v>
      </c>
      <c r="B906">
        <v>2014</v>
      </c>
      <c r="C906">
        <v>160</v>
      </c>
      <c r="D906" t="s">
        <v>19</v>
      </c>
      <c r="E906">
        <v>8.1</v>
      </c>
      <c r="F906" t="s">
        <v>502</v>
      </c>
      <c r="G906" t="s">
        <v>503</v>
      </c>
      <c r="H906">
        <v>50445</v>
      </c>
      <c r="I906">
        <v>901610</v>
      </c>
      <c r="K906" t="str" cm="1">
        <f t="array" ref="K90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07" spans="1:11" x14ac:dyDescent="0.35">
      <c r="A907" t="s">
        <v>1406</v>
      </c>
      <c r="B907">
        <v>2013</v>
      </c>
      <c r="C907">
        <v>161</v>
      </c>
      <c r="D907" t="s">
        <v>74</v>
      </c>
      <c r="E907">
        <v>7.8</v>
      </c>
      <c r="F907" t="s">
        <v>28</v>
      </c>
      <c r="G907" t="s">
        <v>1407</v>
      </c>
      <c r="H907">
        <v>601408</v>
      </c>
      <c r="I907">
        <v>258366855</v>
      </c>
      <c r="J907">
        <v>66</v>
      </c>
      <c r="K907" t="str" cm="1">
        <f t="array" ref="K907">_xlfn.IFS(Table1[[#This Row],[IMDB_Rating]]&gt;=9,"Masterpiece",Table1[[#This Row],[IMDB_Rating]]&gt;=8,"Excellent",Table1[[#This Row],[IMDB_Rating]]&gt;=7,"Good",Table1[[#This Row],[IMDB_Rating]]&lt;7,"Average")</f>
        <v>Good</v>
      </c>
    </row>
    <row r="908" spans="1:11" x14ac:dyDescent="0.35">
      <c r="A908" t="s">
        <v>1960</v>
      </c>
      <c r="B908">
        <v>2019</v>
      </c>
      <c r="C908">
        <v>161</v>
      </c>
      <c r="D908" t="s">
        <v>67</v>
      </c>
      <c r="E908">
        <v>7.6</v>
      </c>
      <c r="F908" t="s">
        <v>31</v>
      </c>
      <c r="G908" t="s">
        <v>38</v>
      </c>
      <c r="H908">
        <v>551309</v>
      </c>
      <c r="I908">
        <v>142502728</v>
      </c>
      <c r="J908">
        <v>83</v>
      </c>
      <c r="K908" t="str" cm="1">
        <f t="array" ref="K908">_xlfn.IFS(Table1[[#This Row],[IMDB_Rating]]&gt;=9,"Masterpiece",Table1[[#This Row],[IMDB_Rating]]&gt;=8,"Excellent",Table1[[#This Row],[IMDB_Rating]]&gt;=7,"Good",Table1[[#This Row],[IMDB_Rating]]&lt;7,"Average")</f>
        <v>Good</v>
      </c>
    </row>
    <row r="909" spans="1:11" x14ac:dyDescent="0.35">
      <c r="A909" t="s">
        <v>733</v>
      </c>
      <c r="B909">
        <v>1957</v>
      </c>
      <c r="C909">
        <v>161</v>
      </c>
      <c r="D909" t="s">
        <v>74</v>
      </c>
      <c r="E909">
        <v>8.1</v>
      </c>
      <c r="F909" t="s">
        <v>301</v>
      </c>
      <c r="G909" t="s">
        <v>222</v>
      </c>
      <c r="H909">
        <v>203463</v>
      </c>
      <c r="I909">
        <v>44908000</v>
      </c>
      <c r="J909">
        <v>87</v>
      </c>
      <c r="K909" t="str" cm="1">
        <f t="array" ref="K90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0" spans="1:11" x14ac:dyDescent="0.35">
      <c r="A910" t="s">
        <v>166</v>
      </c>
      <c r="B910">
        <v>2016</v>
      </c>
      <c r="C910">
        <v>161</v>
      </c>
      <c r="D910" t="s">
        <v>19</v>
      </c>
      <c r="E910">
        <v>8.4</v>
      </c>
      <c r="F910" t="s">
        <v>167</v>
      </c>
      <c r="G910" t="s">
        <v>168</v>
      </c>
      <c r="H910">
        <v>156479</v>
      </c>
      <c r="I910">
        <v>12391761</v>
      </c>
      <c r="K910" t="str" cm="1">
        <f t="array" ref="K91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1" spans="1:11" x14ac:dyDescent="0.35">
      <c r="A911" t="s">
        <v>1034</v>
      </c>
      <c r="B911">
        <v>1959</v>
      </c>
      <c r="C911">
        <v>161</v>
      </c>
      <c r="D911" t="s">
        <v>15</v>
      </c>
      <c r="E911">
        <v>8</v>
      </c>
      <c r="F911" t="s">
        <v>1035</v>
      </c>
      <c r="G911" t="s">
        <v>102</v>
      </c>
      <c r="H911">
        <v>59847</v>
      </c>
      <c r="I911">
        <v>11900000</v>
      </c>
      <c r="J911">
        <v>95</v>
      </c>
      <c r="K911" t="str" cm="1">
        <f t="array" ref="K91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2" spans="1:11" x14ac:dyDescent="0.35">
      <c r="A912" t="s">
        <v>46</v>
      </c>
      <c r="B912">
        <v>1966</v>
      </c>
      <c r="C912">
        <v>161</v>
      </c>
      <c r="D912" t="s">
        <v>47</v>
      </c>
      <c r="E912">
        <v>8.8000000000000007</v>
      </c>
      <c r="F912" t="s">
        <v>48</v>
      </c>
      <c r="G912" t="s">
        <v>49</v>
      </c>
      <c r="H912">
        <v>688390</v>
      </c>
      <c r="I912">
        <v>6100000</v>
      </c>
      <c r="J912">
        <v>90</v>
      </c>
      <c r="K912" t="str" cm="1">
        <f t="array" ref="K91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3" spans="1:11" x14ac:dyDescent="0.35">
      <c r="A913" t="s">
        <v>1437</v>
      </c>
      <c r="B913">
        <v>2009</v>
      </c>
      <c r="C913">
        <v>162</v>
      </c>
      <c r="D913" t="s">
        <v>19</v>
      </c>
      <c r="E913">
        <v>7.8</v>
      </c>
      <c r="F913" t="s">
        <v>133</v>
      </c>
      <c r="G913" t="s">
        <v>1438</v>
      </c>
      <c r="H913">
        <v>1118998</v>
      </c>
      <c r="I913">
        <v>760507625</v>
      </c>
      <c r="J913">
        <v>83</v>
      </c>
      <c r="K913" t="str" cm="1">
        <f t="array" ref="K913">_xlfn.IFS(Table1[[#This Row],[IMDB_Rating]]&gt;=9,"Masterpiece",Table1[[#This Row],[IMDB_Rating]]&gt;=8,"Excellent",Table1[[#This Row],[IMDB_Rating]]&gt;=7,"Good",Table1[[#This Row],[IMDB_Rating]]&lt;7,"Average")</f>
        <v>Good</v>
      </c>
    </row>
    <row r="914" spans="1:11" x14ac:dyDescent="0.35">
      <c r="A914" t="s">
        <v>2062</v>
      </c>
      <c r="B914">
        <v>2009</v>
      </c>
      <c r="C914">
        <v>162</v>
      </c>
      <c r="D914" t="s">
        <v>19</v>
      </c>
      <c r="E914">
        <v>7.6</v>
      </c>
      <c r="F914" t="s">
        <v>2058</v>
      </c>
      <c r="G914" t="s">
        <v>2063</v>
      </c>
      <c r="H914">
        <v>500799</v>
      </c>
      <c r="I914">
        <v>107509799</v>
      </c>
      <c r="J914">
        <v>56</v>
      </c>
      <c r="K914" t="str" cm="1">
        <f t="array" ref="K914">_xlfn.IFS(Table1[[#This Row],[IMDB_Rating]]&gt;=9,"Masterpiece",Table1[[#This Row],[IMDB_Rating]]&gt;=8,"Excellent",Table1[[#This Row],[IMDB_Rating]]&gt;=7,"Good",Table1[[#This Row],[IMDB_Rating]]&lt;7,"Average")</f>
        <v>Good</v>
      </c>
    </row>
    <row r="915" spans="1:11" x14ac:dyDescent="0.35">
      <c r="A915" t="s">
        <v>2142</v>
      </c>
      <c r="B915">
        <v>1990</v>
      </c>
      <c r="C915">
        <v>162</v>
      </c>
      <c r="D915" t="s">
        <v>15</v>
      </c>
      <c r="E915">
        <v>7.6</v>
      </c>
      <c r="F915" t="s">
        <v>16</v>
      </c>
      <c r="G915" t="s">
        <v>23</v>
      </c>
      <c r="H915">
        <v>359809</v>
      </c>
      <c r="I915">
        <v>66666062</v>
      </c>
      <c r="J915">
        <v>60</v>
      </c>
      <c r="K915" t="str" cm="1">
        <f t="array" ref="K915">_xlfn.IFS(Table1[[#This Row],[IMDB_Rating]]&gt;=9,"Masterpiece",Table1[[#This Row],[IMDB_Rating]]&gt;=8,"Excellent",Table1[[#This Row],[IMDB_Rating]]&gt;=7,"Good",Table1[[#This Row],[IMDB_Rating]]&lt;7,"Average")</f>
        <v>Good</v>
      </c>
    </row>
    <row r="916" spans="1:11" x14ac:dyDescent="0.35">
      <c r="A916" t="s">
        <v>431</v>
      </c>
      <c r="B916">
        <v>1985</v>
      </c>
      <c r="C916">
        <v>162</v>
      </c>
      <c r="D916" t="s">
        <v>19</v>
      </c>
      <c r="E916">
        <v>8.1999999999999993</v>
      </c>
      <c r="F916" t="s">
        <v>98</v>
      </c>
      <c r="G916" t="s">
        <v>96</v>
      </c>
      <c r="H916">
        <v>112505</v>
      </c>
      <c r="I916">
        <v>4135750</v>
      </c>
      <c r="J916">
        <v>96</v>
      </c>
      <c r="K916" t="str" cm="1">
        <f t="array" ref="K91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7" spans="1:11" x14ac:dyDescent="0.35">
      <c r="A917" t="s">
        <v>433</v>
      </c>
      <c r="B917">
        <v>1979</v>
      </c>
      <c r="C917">
        <v>162</v>
      </c>
      <c r="D917" t="s">
        <v>11</v>
      </c>
      <c r="E917">
        <v>8.1999999999999993</v>
      </c>
      <c r="F917" t="s">
        <v>434</v>
      </c>
      <c r="G917" t="s">
        <v>435</v>
      </c>
      <c r="H917">
        <v>116945</v>
      </c>
      <c r="I917">
        <v>234723</v>
      </c>
      <c r="K917" t="str" cm="1">
        <f t="array" ref="K917">_xlfn.IFS(Table1[[#This Row],[IMDB_Rating]]&gt;=9,"Masterpiece",Table1[[#This Row],[IMDB_Rating]]&gt;=8,"Excellent",Table1[[#This Row],[IMDB_Rating]]&gt;=7,"Good",Table1[[#This Row],[IMDB_Rating]]&lt;7,"Average")</f>
        <v>Excellent</v>
      </c>
    </row>
    <row r="918" spans="1:11" x14ac:dyDescent="0.35">
      <c r="A918" t="s">
        <v>1865</v>
      </c>
      <c r="B918">
        <v>1987</v>
      </c>
      <c r="C918">
        <v>163</v>
      </c>
      <c r="D918" t="s">
        <v>34</v>
      </c>
      <c r="E918">
        <v>7.7</v>
      </c>
      <c r="F918" t="s">
        <v>1007</v>
      </c>
      <c r="G918" t="s">
        <v>1866</v>
      </c>
      <c r="H918">
        <v>94326</v>
      </c>
      <c r="I918">
        <v>43984230</v>
      </c>
      <c r="J918">
        <v>76</v>
      </c>
      <c r="K918" t="str" cm="1">
        <f t="array" ref="K918">_xlfn.IFS(Table1[[#This Row],[IMDB_Rating]]&gt;=9,"Masterpiece",Table1[[#This Row],[IMDB_Rating]]&gt;=8,"Excellent",Table1[[#This Row],[IMDB_Rating]]&gt;=7,"Good",Table1[[#This Row],[IMDB_Rating]]&lt;7,"Average")</f>
        <v>Good</v>
      </c>
    </row>
    <row r="919" spans="1:11" x14ac:dyDescent="0.35">
      <c r="A919" t="s">
        <v>782</v>
      </c>
      <c r="B919">
        <v>2015</v>
      </c>
      <c r="C919">
        <v>163</v>
      </c>
      <c r="D919" t="s">
        <v>19</v>
      </c>
      <c r="E919">
        <v>8</v>
      </c>
      <c r="F919" t="s">
        <v>783</v>
      </c>
      <c r="G919" t="s">
        <v>784</v>
      </c>
      <c r="H919">
        <v>72245</v>
      </c>
      <c r="I919">
        <v>8178001</v>
      </c>
      <c r="K919" t="str" cm="1">
        <f t="array" ref="K91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0" spans="1:11" x14ac:dyDescent="0.35">
      <c r="A920" t="s">
        <v>232</v>
      </c>
      <c r="B920">
        <v>2015</v>
      </c>
      <c r="C920">
        <v>163</v>
      </c>
      <c r="D920" t="s">
        <v>15</v>
      </c>
      <c r="E920">
        <v>8.1999999999999993</v>
      </c>
      <c r="F920" t="s">
        <v>349</v>
      </c>
      <c r="G920" t="s">
        <v>350</v>
      </c>
      <c r="H920">
        <v>70367</v>
      </c>
      <c r="I920">
        <v>739478</v>
      </c>
      <c r="K920" t="str" cm="1">
        <f t="array" ref="K92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1" spans="1:11" x14ac:dyDescent="0.35">
      <c r="A921" t="s">
        <v>181</v>
      </c>
      <c r="B921">
        <v>2012</v>
      </c>
      <c r="C921">
        <v>164</v>
      </c>
      <c r="D921" t="s">
        <v>19</v>
      </c>
      <c r="E921">
        <v>8.4</v>
      </c>
      <c r="F921" t="s">
        <v>20</v>
      </c>
      <c r="G921" t="s">
        <v>21</v>
      </c>
      <c r="H921">
        <v>1516346</v>
      </c>
      <c r="I921">
        <v>448139099</v>
      </c>
      <c r="J921">
        <v>78</v>
      </c>
      <c r="K921" t="str" cm="1">
        <f t="array" ref="K92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2" spans="1:11" x14ac:dyDescent="0.35">
      <c r="A922" t="s">
        <v>815</v>
      </c>
      <c r="B922">
        <v>2017</v>
      </c>
      <c r="C922">
        <v>164</v>
      </c>
      <c r="D922" t="s">
        <v>19</v>
      </c>
      <c r="E922">
        <v>8</v>
      </c>
      <c r="F922" t="s">
        <v>242</v>
      </c>
      <c r="G922" t="s">
        <v>202</v>
      </c>
      <c r="H922">
        <v>461823</v>
      </c>
      <c r="I922">
        <v>92054159</v>
      </c>
      <c r="J922">
        <v>81</v>
      </c>
      <c r="K922" t="str" cm="1">
        <f t="array" ref="K92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3" spans="1:11" x14ac:dyDescent="0.35">
      <c r="A923" t="s">
        <v>179</v>
      </c>
      <c r="B923">
        <v>2012</v>
      </c>
      <c r="C923">
        <v>165</v>
      </c>
      <c r="D923" t="s">
        <v>11</v>
      </c>
      <c r="E923">
        <v>8.4</v>
      </c>
      <c r="F923" t="s">
        <v>31</v>
      </c>
      <c r="G923" t="s">
        <v>180</v>
      </c>
      <c r="H923">
        <v>1357682</v>
      </c>
      <c r="I923">
        <v>162805434</v>
      </c>
      <c r="J923">
        <v>81</v>
      </c>
      <c r="K923" t="str" cm="1">
        <f t="array" ref="K92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4" spans="1:11" x14ac:dyDescent="0.35">
      <c r="A924" t="s">
        <v>1147</v>
      </c>
      <c r="B924">
        <v>2014</v>
      </c>
      <c r="C924">
        <v>165</v>
      </c>
      <c r="D924" t="s">
        <v>11</v>
      </c>
      <c r="E924">
        <v>7.9</v>
      </c>
      <c r="F924" t="s">
        <v>594</v>
      </c>
      <c r="G924" t="s">
        <v>1148</v>
      </c>
      <c r="H924">
        <v>335533</v>
      </c>
      <c r="I924">
        <v>25379975</v>
      </c>
      <c r="J924">
        <v>100</v>
      </c>
      <c r="K924" t="str" cm="1">
        <f t="array" ref="K924">_xlfn.IFS(Table1[[#This Row],[IMDB_Rating]]&gt;=9,"Masterpiece",Table1[[#This Row],[IMDB_Rating]]&gt;=8,"Excellent",Table1[[#This Row],[IMDB_Rating]]&gt;=7,"Good",Table1[[#This Row],[IMDB_Rating]]&lt;7,"Average")</f>
        <v>Good</v>
      </c>
    </row>
    <row r="925" spans="1:11" x14ac:dyDescent="0.35">
      <c r="A925" t="s">
        <v>143</v>
      </c>
      <c r="B925">
        <v>1968</v>
      </c>
      <c r="C925">
        <v>165</v>
      </c>
      <c r="D925" t="s">
        <v>47</v>
      </c>
      <c r="E925">
        <v>8.5</v>
      </c>
      <c r="F925" t="s">
        <v>48</v>
      </c>
      <c r="G925" t="s">
        <v>26</v>
      </c>
      <c r="H925">
        <v>302844</v>
      </c>
      <c r="I925">
        <v>5321508</v>
      </c>
      <c r="J925">
        <v>80</v>
      </c>
      <c r="K925" t="str" cm="1">
        <f t="array" ref="K92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6" spans="1:11" x14ac:dyDescent="0.35">
      <c r="A926" t="s">
        <v>842</v>
      </c>
      <c r="B926">
        <v>2010</v>
      </c>
      <c r="C926">
        <v>165</v>
      </c>
      <c r="D926" t="s">
        <v>11</v>
      </c>
      <c r="E926">
        <v>8</v>
      </c>
      <c r="F926" t="s">
        <v>843</v>
      </c>
      <c r="G926" t="s">
        <v>381</v>
      </c>
      <c r="H926">
        <v>98575</v>
      </c>
      <c r="I926">
        <v>4018695</v>
      </c>
      <c r="J926">
        <v>50</v>
      </c>
      <c r="K926" t="str" cm="1">
        <f t="array" ref="K92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7" spans="1:11" x14ac:dyDescent="0.35">
      <c r="A927" t="s">
        <v>184</v>
      </c>
      <c r="B927">
        <v>2007</v>
      </c>
      <c r="C927">
        <v>165</v>
      </c>
      <c r="D927" t="s">
        <v>11</v>
      </c>
      <c r="E927">
        <v>8.4</v>
      </c>
      <c r="F927" t="s">
        <v>168</v>
      </c>
      <c r="G927" t="s">
        <v>185</v>
      </c>
      <c r="H927">
        <v>168895</v>
      </c>
      <c r="I927">
        <v>1223869</v>
      </c>
      <c r="K927" t="str" cm="1">
        <f t="array" ref="K927">_xlfn.IFS(Table1[[#This Row],[IMDB_Rating]]&gt;=9,"Masterpiece",Table1[[#This Row],[IMDB_Rating]]&gt;=8,"Excellent",Table1[[#This Row],[IMDB_Rating]]&gt;=7,"Good",Table1[[#This Row],[IMDB_Rating]]&lt;7,"Average")</f>
        <v>Excellent</v>
      </c>
    </row>
    <row r="928" spans="1:11" x14ac:dyDescent="0.35">
      <c r="A928" t="s">
        <v>1448</v>
      </c>
      <c r="B928">
        <v>2008</v>
      </c>
      <c r="C928">
        <v>166</v>
      </c>
      <c r="D928" t="s">
        <v>11</v>
      </c>
      <c r="E928">
        <v>7.8</v>
      </c>
      <c r="F928" t="s">
        <v>40</v>
      </c>
      <c r="G928" t="s">
        <v>41</v>
      </c>
      <c r="H928">
        <v>589160</v>
      </c>
      <c r="I928">
        <v>127509326</v>
      </c>
      <c r="J928">
        <v>70</v>
      </c>
      <c r="K928" t="str" cm="1">
        <f t="array" ref="K928">_xlfn.IFS(Table1[[#This Row],[IMDB_Rating]]&gt;=9,"Masterpiece",Table1[[#This Row],[IMDB_Rating]]&gt;=8,"Excellent",Table1[[#This Row],[IMDB_Rating]]&gt;=7,"Good",Table1[[#This Row],[IMDB_Rating]]&lt;7,"Average")</f>
        <v>Good</v>
      </c>
    </row>
    <row r="929" spans="1:11" x14ac:dyDescent="0.35">
      <c r="A929" t="s">
        <v>696</v>
      </c>
      <c r="B929">
        <v>1972</v>
      </c>
      <c r="C929">
        <v>167</v>
      </c>
      <c r="D929" t="s">
        <v>11</v>
      </c>
      <c r="E929">
        <v>8.1</v>
      </c>
      <c r="F929" t="s">
        <v>434</v>
      </c>
      <c r="G929" t="s">
        <v>697</v>
      </c>
      <c r="H929">
        <v>81021</v>
      </c>
      <c r="I929">
        <v>526246744</v>
      </c>
      <c r="J929">
        <v>90</v>
      </c>
      <c r="K929" t="str" cm="1">
        <f t="array" ref="K92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0" spans="1:11" x14ac:dyDescent="0.35">
      <c r="A930" t="s">
        <v>343</v>
      </c>
      <c r="B930">
        <v>2017</v>
      </c>
      <c r="C930">
        <v>167</v>
      </c>
      <c r="D930" t="s">
        <v>19</v>
      </c>
      <c r="E930">
        <v>8.1999999999999993</v>
      </c>
      <c r="F930" t="s">
        <v>344</v>
      </c>
      <c r="G930" t="s">
        <v>345</v>
      </c>
      <c r="H930">
        <v>75348</v>
      </c>
      <c r="I930">
        <v>20186659</v>
      </c>
      <c r="K930" t="str" cm="1">
        <f t="array" ref="K93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1" spans="1:11" x14ac:dyDescent="0.35">
      <c r="A931" t="s">
        <v>392</v>
      </c>
      <c r="B931">
        <v>2006</v>
      </c>
      <c r="C931">
        <v>167</v>
      </c>
      <c r="D931" t="s">
        <v>67</v>
      </c>
      <c r="E931">
        <v>8.1999999999999993</v>
      </c>
      <c r="F931" t="s">
        <v>358</v>
      </c>
      <c r="G931" t="s">
        <v>168</v>
      </c>
      <c r="H931">
        <v>111937</v>
      </c>
      <c r="I931">
        <v>2197331</v>
      </c>
      <c r="K931" t="str" cm="1">
        <f t="array" ref="K93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2" spans="1:11" x14ac:dyDescent="0.35">
      <c r="A932" t="s">
        <v>1347</v>
      </c>
      <c r="B932">
        <v>2015</v>
      </c>
      <c r="C932">
        <v>168</v>
      </c>
      <c r="D932" t="s">
        <v>15</v>
      </c>
      <c r="E932">
        <v>7.8</v>
      </c>
      <c r="F932" t="s">
        <v>31</v>
      </c>
      <c r="G932" t="s">
        <v>1348</v>
      </c>
      <c r="H932">
        <v>517059</v>
      </c>
      <c r="I932">
        <v>54117416</v>
      </c>
      <c r="J932">
        <v>68</v>
      </c>
      <c r="K932" t="str" cm="1">
        <f t="array" ref="K932">_xlfn.IFS(Table1[[#This Row],[IMDB_Rating]]&gt;=9,"Masterpiece",Table1[[#This Row],[IMDB_Rating]]&gt;=8,"Excellent",Table1[[#This Row],[IMDB_Rating]]&gt;=7,"Good",Table1[[#This Row],[IMDB_Rating]]&lt;7,"Average")</f>
        <v>Good</v>
      </c>
    </row>
    <row r="933" spans="1:11" x14ac:dyDescent="0.35">
      <c r="A933" t="s">
        <v>1426</v>
      </c>
      <c r="B933">
        <v>2012</v>
      </c>
      <c r="C933">
        <v>169</v>
      </c>
      <c r="D933" t="s">
        <v>74</v>
      </c>
      <c r="E933">
        <v>7.8</v>
      </c>
      <c r="F933" t="s">
        <v>28</v>
      </c>
      <c r="G933" t="s">
        <v>1427</v>
      </c>
      <c r="H933">
        <v>757377</v>
      </c>
      <c r="I933">
        <v>303003568</v>
      </c>
      <c r="J933">
        <v>58</v>
      </c>
      <c r="K933" t="str" cm="1">
        <f t="array" ref="K933">_xlfn.IFS(Table1[[#This Row],[IMDB_Rating]]&gt;=9,"Masterpiece",Table1[[#This Row],[IMDB_Rating]]&gt;=8,"Excellent",Table1[[#This Row],[IMDB_Rating]]&gt;=7,"Good",Table1[[#This Row],[IMDB_Rating]]&lt;7,"Average")</f>
        <v>Good</v>
      </c>
    </row>
    <row r="934" spans="1:11" x14ac:dyDescent="0.35">
      <c r="A934" t="s">
        <v>83</v>
      </c>
      <c r="B934">
        <v>1998</v>
      </c>
      <c r="C934">
        <v>169</v>
      </c>
      <c r="D934" t="s">
        <v>11</v>
      </c>
      <c r="E934">
        <v>8.6</v>
      </c>
      <c r="F934" t="s">
        <v>35</v>
      </c>
      <c r="G934" t="s">
        <v>45</v>
      </c>
      <c r="H934">
        <v>1235804</v>
      </c>
      <c r="I934">
        <v>216540909</v>
      </c>
      <c r="J934">
        <v>91</v>
      </c>
      <c r="K934" t="str" cm="1">
        <f t="array" ref="K934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5" spans="1:11" x14ac:dyDescent="0.35">
      <c r="A935" t="s">
        <v>73</v>
      </c>
      <c r="B935">
        <v>2014</v>
      </c>
      <c r="C935">
        <v>169</v>
      </c>
      <c r="D935" t="s">
        <v>74</v>
      </c>
      <c r="E935">
        <v>8.6</v>
      </c>
      <c r="F935" t="s">
        <v>20</v>
      </c>
      <c r="G935" t="s">
        <v>75</v>
      </c>
      <c r="H935">
        <v>1512360</v>
      </c>
      <c r="I935">
        <v>188020017</v>
      </c>
      <c r="J935">
        <v>74</v>
      </c>
      <c r="K935" t="str" cm="1">
        <f t="array" ref="K93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6" spans="1:11" x14ac:dyDescent="0.35">
      <c r="A936" t="s">
        <v>614</v>
      </c>
      <c r="B936">
        <v>1998</v>
      </c>
      <c r="C936">
        <v>169</v>
      </c>
      <c r="D936" t="s">
        <v>11</v>
      </c>
      <c r="E936">
        <v>8.1</v>
      </c>
      <c r="F936" t="s">
        <v>136</v>
      </c>
      <c r="G936" t="s">
        <v>615</v>
      </c>
      <c r="H936">
        <v>59020</v>
      </c>
      <c r="I936">
        <v>259127</v>
      </c>
      <c r="J936">
        <v>58</v>
      </c>
      <c r="K936" t="str" cm="1">
        <f t="array" ref="K93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7" spans="1:11" x14ac:dyDescent="0.35">
      <c r="A937" t="s">
        <v>1599</v>
      </c>
      <c r="B937">
        <v>1964</v>
      </c>
      <c r="C937">
        <v>170</v>
      </c>
      <c r="D937" t="s">
        <v>11</v>
      </c>
      <c r="E937">
        <v>7.8</v>
      </c>
      <c r="F937" t="s">
        <v>756</v>
      </c>
      <c r="G937" t="s">
        <v>1594</v>
      </c>
      <c r="H937">
        <v>86525</v>
      </c>
      <c r="I937">
        <v>72000000</v>
      </c>
      <c r="J937">
        <v>95</v>
      </c>
      <c r="K937" t="str" cm="1">
        <f t="array" ref="K937">_xlfn.IFS(Table1[[#This Row],[IMDB_Rating]]&gt;=9,"Masterpiece",Table1[[#This Row],[IMDB_Rating]]&gt;=8,"Excellent",Table1[[#This Row],[IMDB_Rating]]&gt;=7,"Good",Table1[[#This Row],[IMDB_Rating]]&lt;7,"Average")</f>
        <v>Good</v>
      </c>
    </row>
    <row r="938" spans="1:11" x14ac:dyDescent="0.35">
      <c r="A938" t="s">
        <v>416</v>
      </c>
      <c r="B938">
        <v>1995</v>
      </c>
      <c r="C938">
        <v>170</v>
      </c>
      <c r="D938" t="s">
        <v>15</v>
      </c>
      <c r="E938">
        <v>8.1999999999999993</v>
      </c>
      <c r="F938" t="s">
        <v>417</v>
      </c>
      <c r="G938" t="s">
        <v>23</v>
      </c>
      <c r="H938">
        <v>577113</v>
      </c>
      <c r="I938">
        <v>67436818</v>
      </c>
      <c r="J938">
        <v>76</v>
      </c>
      <c r="K938" t="str" cm="1">
        <f t="array" ref="K938">_xlfn.IFS(Table1[[#This Row],[IMDB_Rating]]&gt;=9,"Masterpiece",Table1[[#This Row],[IMDB_Rating]]&gt;=8,"Excellent",Table1[[#This Row],[IMDB_Rating]]&gt;=7,"Good",Table1[[#This Row],[IMDB_Rating]]&lt;7,"Average")</f>
        <v>Excellent</v>
      </c>
    </row>
    <row r="939" spans="1:11" x14ac:dyDescent="0.35">
      <c r="A939" t="s">
        <v>284</v>
      </c>
      <c r="B939">
        <v>1983</v>
      </c>
      <c r="C939">
        <v>170</v>
      </c>
      <c r="D939" t="s">
        <v>15</v>
      </c>
      <c r="E939">
        <v>8.3000000000000007</v>
      </c>
      <c r="F939" t="s">
        <v>285</v>
      </c>
      <c r="G939" t="s">
        <v>23</v>
      </c>
      <c r="H939">
        <v>740911</v>
      </c>
      <c r="I939">
        <v>45598982</v>
      </c>
      <c r="J939">
        <v>65</v>
      </c>
      <c r="K939" t="str" cm="1">
        <f t="array" ref="K93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0" spans="1:11" x14ac:dyDescent="0.35">
      <c r="A940" t="s">
        <v>2107</v>
      </c>
      <c r="B940">
        <v>1998</v>
      </c>
      <c r="C940">
        <v>170</v>
      </c>
      <c r="D940" t="s">
        <v>11</v>
      </c>
      <c r="E940">
        <v>7.6</v>
      </c>
      <c r="F940" t="s">
        <v>1574</v>
      </c>
      <c r="G940" t="s">
        <v>1479</v>
      </c>
      <c r="H940">
        <v>172710</v>
      </c>
      <c r="I940">
        <v>36400491</v>
      </c>
      <c r="J940">
        <v>78</v>
      </c>
      <c r="K940" t="str" cm="1">
        <f t="array" ref="K940">_xlfn.IFS(Table1[[#This Row],[IMDB_Rating]]&gt;=9,"Masterpiece",Table1[[#This Row],[IMDB_Rating]]&gt;=8,"Excellent",Table1[[#This Row],[IMDB_Rating]]&gt;=7,"Good",Table1[[#This Row],[IMDB_Rating]]&lt;7,"Average")</f>
        <v>Good</v>
      </c>
    </row>
    <row r="941" spans="1:11" x14ac:dyDescent="0.35">
      <c r="A941" t="s">
        <v>1066</v>
      </c>
      <c r="B941">
        <v>1946</v>
      </c>
      <c r="C941">
        <v>170</v>
      </c>
      <c r="D941" t="s">
        <v>11</v>
      </c>
      <c r="E941">
        <v>8</v>
      </c>
      <c r="F941" t="s">
        <v>726</v>
      </c>
      <c r="G941" t="s">
        <v>1067</v>
      </c>
      <c r="H941">
        <v>57259</v>
      </c>
      <c r="I941">
        <v>23650000</v>
      </c>
      <c r="J941">
        <v>93</v>
      </c>
      <c r="K941" t="str" cm="1">
        <f t="array" ref="K94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2" spans="1:11" x14ac:dyDescent="0.35">
      <c r="A942" t="s">
        <v>182</v>
      </c>
      <c r="B942">
        <v>2009</v>
      </c>
      <c r="C942">
        <v>170</v>
      </c>
      <c r="D942" t="s">
        <v>67</v>
      </c>
      <c r="E942">
        <v>8.4</v>
      </c>
      <c r="F942" t="s">
        <v>183</v>
      </c>
      <c r="G942" t="s">
        <v>168</v>
      </c>
      <c r="H942">
        <v>344445</v>
      </c>
      <c r="I942">
        <v>6532908</v>
      </c>
      <c r="J942">
        <v>67</v>
      </c>
      <c r="K942" t="str" cm="1">
        <f t="array" ref="K94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3" spans="1:11" x14ac:dyDescent="0.35">
      <c r="A943" t="s">
        <v>628</v>
      </c>
      <c r="B943">
        <v>1995</v>
      </c>
      <c r="C943">
        <v>170</v>
      </c>
      <c r="D943" t="s">
        <v>67</v>
      </c>
      <c r="E943">
        <v>8.1</v>
      </c>
      <c r="F943" t="s">
        <v>424</v>
      </c>
      <c r="G943" t="s">
        <v>629</v>
      </c>
      <c r="H943">
        <v>55220</v>
      </c>
      <c r="I943">
        <v>171082</v>
      </c>
      <c r="K943" t="str" cm="1">
        <f t="array" ref="K94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4" spans="1:11" x14ac:dyDescent="0.35">
      <c r="A944" t="s">
        <v>645</v>
      </c>
      <c r="B944">
        <v>1993</v>
      </c>
      <c r="C944">
        <v>171</v>
      </c>
      <c r="D944" t="s">
        <v>11</v>
      </c>
      <c r="E944">
        <v>8.1</v>
      </c>
      <c r="F944" t="s">
        <v>646</v>
      </c>
      <c r="G944" t="s">
        <v>647</v>
      </c>
      <c r="H944">
        <v>25088</v>
      </c>
      <c r="I944">
        <v>5216888</v>
      </c>
      <c r="K944" t="str" cm="1">
        <f t="array" ref="K944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5" spans="1:11" x14ac:dyDescent="0.35">
      <c r="A945" t="s">
        <v>1017</v>
      </c>
      <c r="B945">
        <v>1965</v>
      </c>
      <c r="C945">
        <v>172</v>
      </c>
      <c r="D945" t="s">
        <v>34</v>
      </c>
      <c r="E945">
        <v>8</v>
      </c>
      <c r="F945" t="s">
        <v>1018</v>
      </c>
      <c r="G945" t="s">
        <v>1019</v>
      </c>
      <c r="H945">
        <v>205425</v>
      </c>
      <c r="I945">
        <v>163214286</v>
      </c>
      <c r="J945">
        <v>63</v>
      </c>
      <c r="K945" t="str" cm="1">
        <f t="array" ref="K94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6" spans="1:11" x14ac:dyDescent="0.35">
      <c r="A946" t="s">
        <v>1258</v>
      </c>
      <c r="B946">
        <v>1970</v>
      </c>
      <c r="C946">
        <v>172</v>
      </c>
      <c r="D946" t="s">
        <v>34</v>
      </c>
      <c r="E946">
        <v>7.9</v>
      </c>
      <c r="F946" t="s">
        <v>997</v>
      </c>
      <c r="G946" t="s">
        <v>1259</v>
      </c>
      <c r="H946">
        <v>93741</v>
      </c>
      <c r="I946">
        <v>61700000</v>
      </c>
      <c r="J946">
        <v>91</v>
      </c>
      <c r="K946" t="str" cm="1">
        <f t="array" ref="K946">_xlfn.IFS(Table1[[#This Row],[IMDB_Rating]]&gt;=9,"Masterpiece",Table1[[#This Row],[IMDB_Rating]]&gt;=8,"Excellent",Table1[[#This Row],[IMDB_Rating]]&gt;=7,"Good",Table1[[#This Row],[IMDB_Rating]]&lt;7,"Average")</f>
        <v>Good</v>
      </c>
    </row>
    <row r="947" spans="1:11" x14ac:dyDescent="0.35">
      <c r="A947" t="s">
        <v>448</v>
      </c>
      <c r="B947">
        <v>1963</v>
      </c>
      <c r="C947">
        <v>172</v>
      </c>
      <c r="D947" t="s">
        <v>74</v>
      </c>
      <c r="E947">
        <v>8.1999999999999993</v>
      </c>
      <c r="F947" t="s">
        <v>449</v>
      </c>
      <c r="G947" t="s">
        <v>450</v>
      </c>
      <c r="H947">
        <v>224730</v>
      </c>
      <c r="I947">
        <v>12100000</v>
      </c>
      <c r="J947">
        <v>86</v>
      </c>
      <c r="K947" t="str" cm="1">
        <f t="array" ref="K947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8" spans="1:11" x14ac:dyDescent="0.35">
      <c r="A948" t="s">
        <v>1030</v>
      </c>
      <c r="B948">
        <v>1960</v>
      </c>
      <c r="C948">
        <v>174</v>
      </c>
      <c r="D948" t="s">
        <v>67</v>
      </c>
      <c r="E948">
        <v>8</v>
      </c>
      <c r="F948" t="s">
        <v>730</v>
      </c>
      <c r="G948" t="s">
        <v>1024</v>
      </c>
      <c r="H948">
        <v>66621</v>
      </c>
      <c r="I948">
        <v>19516000</v>
      </c>
      <c r="J948">
        <v>95</v>
      </c>
      <c r="K948" t="str" cm="1">
        <f t="array" ref="K948">_xlfn.IFS(Table1[[#This Row],[IMDB_Rating]]&gt;=9,"Masterpiece",Table1[[#This Row],[IMDB_Rating]]&gt;=8,"Excellent",Table1[[#This Row],[IMDB_Rating]]&gt;=7,"Good",Table1[[#This Row],[IMDB_Rating]]&lt;7,"Average")</f>
        <v>Excellent</v>
      </c>
    </row>
    <row r="949" spans="1:11" x14ac:dyDescent="0.35">
      <c r="A949" t="s">
        <v>14</v>
      </c>
      <c r="B949">
        <v>1972</v>
      </c>
      <c r="C949">
        <v>175</v>
      </c>
      <c r="D949" t="s">
        <v>15</v>
      </c>
      <c r="E949">
        <v>9.1999999999999993</v>
      </c>
      <c r="F949" t="s">
        <v>16</v>
      </c>
      <c r="G949" t="s">
        <v>17</v>
      </c>
      <c r="H949">
        <v>1620367</v>
      </c>
      <c r="I949">
        <v>134966411</v>
      </c>
      <c r="J949">
        <v>100</v>
      </c>
      <c r="K949" t="str" cm="1">
        <f t="array" ref="K949">_xlfn.IFS(Table1[[#This Row],[IMDB_Rating]]&gt;=9,"Masterpiece",Table1[[#This Row],[IMDB_Rating]]&gt;=8,"Excellent",Table1[[#This Row],[IMDB_Rating]]&gt;=7,"Good",Table1[[#This Row],[IMDB_Rating]]&lt;7,"Average")</f>
        <v>Masterpiece</v>
      </c>
    </row>
    <row r="950" spans="1:11" x14ac:dyDescent="0.35">
      <c r="A950" t="s">
        <v>439</v>
      </c>
      <c r="B950">
        <v>1976</v>
      </c>
      <c r="C950">
        <v>177</v>
      </c>
      <c r="D950" t="s">
        <v>34</v>
      </c>
      <c r="E950">
        <v>8.1999999999999993</v>
      </c>
      <c r="F950" t="s">
        <v>440</v>
      </c>
      <c r="G950" t="s">
        <v>441</v>
      </c>
      <c r="H950">
        <v>43885</v>
      </c>
      <c r="I950">
        <v>216427395</v>
      </c>
      <c r="K950" t="str" cm="1">
        <f t="array" ref="K95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1" spans="1:11" x14ac:dyDescent="0.35">
      <c r="A951" t="s">
        <v>42</v>
      </c>
      <c r="B951">
        <v>2001</v>
      </c>
      <c r="C951">
        <v>178</v>
      </c>
      <c r="D951" t="s">
        <v>19</v>
      </c>
      <c r="E951">
        <v>8.8000000000000007</v>
      </c>
      <c r="F951" t="s">
        <v>28</v>
      </c>
      <c r="G951" t="s">
        <v>29</v>
      </c>
      <c r="H951">
        <v>1661481</v>
      </c>
      <c r="I951">
        <v>315544750</v>
      </c>
      <c r="J951">
        <v>92</v>
      </c>
      <c r="K951" t="str" cm="1">
        <f t="array" ref="K95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2" spans="1:11" x14ac:dyDescent="0.35">
      <c r="A952" t="s">
        <v>272</v>
      </c>
      <c r="B952">
        <v>1995</v>
      </c>
      <c r="C952">
        <v>178</v>
      </c>
      <c r="D952" t="s">
        <v>34</v>
      </c>
      <c r="E952">
        <v>8.3000000000000007</v>
      </c>
      <c r="F952" t="s">
        <v>273</v>
      </c>
      <c r="G952" t="s">
        <v>273</v>
      </c>
      <c r="H952">
        <v>959181</v>
      </c>
      <c r="I952">
        <v>75600000</v>
      </c>
      <c r="J952">
        <v>68</v>
      </c>
      <c r="K952" t="str" cm="1">
        <f t="array" ref="K95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3" spans="1:11" x14ac:dyDescent="0.35">
      <c r="A953" t="s">
        <v>418</v>
      </c>
      <c r="B953">
        <v>1995</v>
      </c>
      <c r="C953">
        <v>178</v>
      </c>
      <c r="D953" t="s">
        <v>15</v>
      </c>
      <c r="E953">
        <v>8.1999999999999993</v>
      </c>
      <c r="F953" t="s">
        <v>55</v>
      </c>
      <c r="G953" t="s">
        <v>56</v>
      </c>
      <c r="H953">
        <v>466276</v>
      </c>
      <c r="I953">
        <v>42438300</v>
      </c>
      <c r="J953">
        <v>73</v>
      </c>
      <c r="K953" t="str" cm="1">
        <f t="array" ref="K95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4" spans="1:11" x14ac:dyDescent="0.35">
      <c r="A954" t="s">
        <v>1602</v>
      </c>
      <c r="B954">
        <v>1962</v>
      </c>
      <c r="C954">
        <v>178</v>
      </c>
      <c r="D954" t="s">
        <v>19</v>
      </c>
      <c r="E954">
        <v>7.8</v>
      </c>
      <c r="F954" t="s">
        <v>1603</v>
      </c>
      <c r="G954" t="s">
        <v>1604</v>
      </c>
      <c r="H954">
        <v>52141</v>
      </c>
      <c r="I954">
        <v>39100000</v>
      </c>
      <c r="J954">
        <v>75</v>
      </c>
      <c r="K954" t="str" cm="1">
        <f t="array" ref="K954">_xlfn.IFS(Table1[[#This Row],[IMDB_Rating]]&gt;=9,"Masterpiece",Table1[[#This Row],[IMDB_Rating]]&gt;=8,"Excellent",Table1[[#This Row],[IMDB_Rating]]&gt;=7,"Good",Table1[[#This Row],[IMDB_Rating]]&lt;7,"Average")</f>
        <v>Good</v>
      </c>
    </row>
    <row r="955" spans="1:11" x14ac:dyDescent="0.35">
      <c r="A955" t="s">
        <v>908</v>
      </c>
      <c r="B955">
        <v>2003</v>
      </c>
      <c r="C955">
        <v>178</v>
      </c>
      <c r="D955" t="s">
        <v>15</v>
      </c>
      <c r="E955">
        <v>8</v>
      </c>
      <c r="F955" t="s">
        <v>909</v>
      </c>
      <c r="G955" t="s">
        <v>910</v>
      </c>
      <c r="H955">
        <v>137963</v>
      </c>
      <c r="I955">
        <v>1530386</v>
      </c>
      <c r="J955">
        <v>60</v>
      </c>
      <c r="K955" t="str" cm="1">
        <f t="array" ref="K95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6" spans="1:11" x14ac:dyDescent="0.35">
      <c r="A956" t="s">
        <v>455</v>
      </c>
      <c r="B956">
        <v>1961</v>
      </c>
      <c r="C956">
        <v>179</v>
      </c>
      <c r="D956" t="s">
        <v>11</v>
      </c>
      <c r="E956">
        <v>8.1999999999999993</v>
      </c>
      <c r="F956" t="s">
        <v>456</v>
      </c>
      <c r="G956" t="s">
        <v>457</v>
      </c>
      <c r="H956">
        <v>69458</v>
      </c>
      <c r="I956">
        <v>867589901</v>
      </c>
      <c r="J956">
        <v>60</v>
      </c>
      <c r="K956" t="str" cm="1">
        <f t="array" ref="K95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7" spans="1:11" x14ac:dyDescent="0.35">
      <c r="A957" t="s">
        <v>50</v>
      </c>
      <c r="B957">
        <v>2002</v>
      </c>
      <c r="C957">
        <v>179</v>
      </c>
      <c r="D957" t="s">
        <v>19</v>
      </c>
      <c r="E957">
        <v>8.6999999999999993</v>
      </c>
      <c r="F957" t="s">
        <v>28</v>
      </c>
      <c r="G957" t="s">
        <v>29</v>
      </c>
      <c r="H957">
        <v>1485555</v>
      </c>
      <c r="I957">
        <v>342551365</v>
      </c>
      <c r="J957">
        <v>87</v>
      </c>
      <c r="K957" t="str" cm="1">
        <f t="array" ref="K957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8" spans="1:11" x14ac:dyDescent="0.35">
      <c r="A958" t="s">
        <v>378</v>
      </c>
      <c r="B958">
        <v>2013</v>
      </c>
      <c r="C958">
        <v>180</v>
      </c>
      <c r="D958" t="s">
        <v>34</v>
      </c>
      <c r="E958">
        <v>8.1999999999999993</v>
      </c>
      <c r="F958" t="s">
        <v>55</v>
      </c>
      <c r="G958" t="s">
        <v>38</v>
      </c>
      <c r="H958">
        <v>1187498</v>
      </c>
      <c r="I958">
        <v>116900694</v>
      </c>
      <c r="J958">
        <v>75</v>
      </c>
      <c r="K958" t="str" cm="1">
        <f t="array" ref="K958">_xlfn.IFS(Table1[[#This Row],[IMDB_Rating]]&gt;=9,"Masterpiece",Table1[[#This Row],[IMDB_Rating]]&gt;=8,"Excellent",Table1[[#This Row],[IMDB_Rating]]&gt;=7,"Good",Table1[[#This Row],[IMDB_Rating]]&lt;7,"Average")</f>
        <v>Excellent</v>
      </c>
    </row>
    <row r="959" spans="1:11" x14ac:dyDescent="0.35">
      <c r="A959" t="s">
        <v>985</v>
      </c>
      <c r="B959">
        <v>1980</v>
      </c>
      <c r="C959">
        <v>180</v>
      </c>
      <c r="D959" t="s">
        <v>11</v>
      </c>
      <c r="E959">
        <v>8</v>
      </c>
      <c r="F959" t="s">
        <v>98</v>
      </c>
      <c r="G959" t="s">
        <v>96</v>
      </c>
      <c r="H959">
        <v>32195</v>
      </c>
      <c r="I959">
        <v>66363801</v>
      </c>
      <c r="J959">
        <v>84</v>
      </c>
      <c r="K959" t="str" cm="1">
        <f t="array" ref="K95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0" spans="1:11" x14ac:dyDescent="0.35">
      <c r="A960" t="s">
        <v>950</v>
      </c>
      <c r="B960">
        <v>1993</v>
      </c>
      <c r="C960">
        <v>180</v>
      </c>
      <c r="D960" t="s">
        <v>15</v>
      </c>
      <c r="E960">
        <v>8</v>
      </c>
      <c r="F960" t="s">
        <v>951</v>
      </c>
      <c r="G960" t="s">
        <v>952</v>
      </c>
      <c r="H960">
        <v>28825</v>
      </c>
      <c r="I960">
        <v>4496583</v>
      </c>
      <c r="J960">
        <v>47</v>
      </c>
      <c r="K960" t="str" cm="1">
        <f t="array" ref="K96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1" spans="1:11" x14ac:dyDescent="0.35">
      <c r="A961" t="s">
        <v>1668</v>
      </c>
      <c r="B961">
        <v>2013</v>
      </c>
      <c r="C961">
        <v>180</v>
      </c>
      <c r="D961" t="s">
        <v>11</v>
      </c>
      <c r="E961">
        <v>7.7</v>
      </c>
      <c r="F961" t="s">
        <v>1669</v>
      </c>
      <c r="G961" t="s">
        <v>1670</v>
      </c>
      <c r="H961">
        <v>138741</v>
      </c>
      <c r="I961">
        <v>2199675</v>
      </c>
      <c r="J961">
        <v>89</v>
      </c>
      <c r="K961" t="str" cm="1">
        <f t="array" ref="K961">_xlfn.IFS(Table1[[#This Row],[IMDB_Rating]]&gt;=9,"Masterpiece",Table1[[#This Row],[IMDB_Rating]]&gt;=8,"Excellent",Table1[[#This Row],[IMDB_Rating]]&gt;=7,"Good",Table1[[#This Row],[IMDB_Rating]]&lt;7,"Average")</f>
        <v>Good</v>
      </c>
    </row>
    <row r="962" spans="1:11" x14ac:dyDescent="0.35">
      <c r="A962" t="s">
        <v>172</v>
      </c>
      <c r="B962">
        <v>2019</v>
      </c>
      <c r="C962">
        <v>181</v>
      </c>
      <c r="D962" t="s">
        <v>19</v>
      </c>
      <c r="E962">
        <v>8.4</v>
      </c>
      <c r="F962" t="s">
        <v>173</v>
      </c>
      <c r="G962" t="s">
        <v>174</v>
      </c>
      <c r="H962">
        <v>809955</v>
      </c>
      <c r="I962">
        <v>858373000</v>
      </c>
      <c r="J962">
        <v>78</v>
      </c>
      <c r="K962" t="str" cm="1">
        <f t="array" ref="K96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3" spans="1:11" x14ac:dyDescent="0.35">
      <c r="A963" t="s">
        <v>963</v>
      </c>
      <c r="B963">
        <v>1990</v>
      </c>
      <c r="C963">
        <v>181</v>
      </c>
      <c r="D963" t="s">
        <v>74</v>
      </c>
      <c r="E963">
        <v>8</v>
      </c>
      <c r="F963" t="s">
        <v>959</v>
      </c>
      <c r="G963" t="s">
        <v>959</v>
      </c>
      <c r="H963">
        <v>240266</v>
      </c>
      <c r="I963">
        <v>184208848</v>
      </c>
      <c r="J963">
        <v>72</v>
      </c>
      <c r="K963" t="str" cm="1">
        <f t="array" ref="K96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4" spans="1:11" x14ac:dyDescent="0.35">
      <c r="A964" t="s">
        <v>1003</v>
      </c>
      <c r="B964">
        <v>1971</v>
      </c>
      <c r="C964">
        <v>181</v>
      </c>
      <c r="D964" t="s">
        <v>11</v>
      </c>
      <c r="E964">
        <v>8</v>
      </c>
      <c r="F964" t="s">
        <v>1004</v>
      </c>
      <c r="G964" t="s">
        <v>1005</v>
      </c>
      <c r="H964">
        <v>39491</v>
      </c>
      <c r="I964">
        <v>80500000</v>
      </c>
      <c r="J964">
        <v>67</v>
      </c>
      <c r="K964" t="str" cm="1">
        <f t="array" ref="K964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5" spans="1:11" x14ac:dyDescent="0.35">
      <c r="A965" t="s">
        <v>680</v>
      </c>
      <c r="B965">
        <v>1978</v>
      </c>
      <c r="C965">
        <v>183</v>
      </c>
      <c r="D965" t="s">
        <v>11</v>
      </c>
      <c r="E965">
        <v>8.1</v>
      </c>
      <c r="F965" t="s">
        <v>681</v>
      </c>
      <c r="G965" t="s">
        <v>56</v>
      </c>
      <c r="H965">
        <v>311361</v>
      </c>
      <c r="I965">
        <v>48979328</v>
      </c>
      <c r="J965">
        <v>86</v>
      </c>
      <c r="K965" t="str" cm="1">
        <f t="array" ref="K96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6" spans="1:11" x14ac:dyDescent="0.35">
      <c r="A966" t="s">
        <v>598</v>
      </c>
      <c r="B966">
        <v>2001</v>
      </c>
      <c r="C966">
        <v>183</v>
      </c>
      <c r="D966" t="s">
        <v>67</v>
      </c>
      <c r="E966">
        <v>8.1</v>
      </c>
      <c r="F966" t="s">
        <v>359</v>
      </c>
      <c r="G966" t="s">
        <v>168</v>
      </c>
      <c r="H966">
        <v>66803</v>
      </c>
      <c r="I966">
        <v>300000</v>
      </c>
      <c r="K966" t="str" cm="1">
        <f t="array" ref="K96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7" spans="1:11" x14ac:dyDescent="0.35">
      <c r="A967" t="s">
        <v>1336</v>
      </c>
      <c r="B967">
        <v>2016</v>
      </c>
      <c r="C967">
        <v>184</v>
      </c>
      <c r="D967" t="s">
        <v>34</v>
      </c>
      <c r="E967">
        <v>7.8</v>
      </c>
      <c r="F967" t="s">
        <v>559</v>
      </c>
      <c r="G967" t="s">
        <v>327</v>
      </c>
      <c r="H967">
        <v>40416</v>
      </c>
      <c r="I967">
        <v>1782795</v>
      </c>
      <c r="K967" t="str" cm="1">
        <f t="array" ref="K967">_xlfn.IFS(Table1[[#This Row],[IMDB_Rating]]&gt;=9,"Masterpiece",Table1[[#This Row],[IMDB_Rating]]&gt;=8,"Excellent",Table1[[#This Row],[IMDB_Rating]]&gt;=7,"Good",Table1[[#This Row],[IMDB_Rating]]&lt;7,"Average")</f>
        <v>Good</v>
      </c>
    </row>
    <row r="968" spans="1:11" x14ac:dyDescent="0.35">
      <c r="A968" t="s">
        <v>687</v>
      </c>
      <c r="B968">
        <v>1975</v>
      </c>
      <c r="C968">
        <v>185</v>
      </c>
      <c r="D968" t="s">
        <v>74</v>
      </c>
      <c r="E968">
        <v>8.1</v>
      </c>
      <c r="F968" t="s">
        <v>204</v>
      </c>
      <c r="G968" t="s">
        <v>688</v>
      </c>
      <c r="H968">
        <v>149843</v>
      </c>
      <c r="I968">
        <v>36008144</v>
      </c>
      <c r="J968">
        <v>89</v>
      </c>
      <c r="K968" t="str" cm="1">
        <f t="array" ref="K968">_xlfn.IFS(Table1[[#This Row],[IMDB_Rating]]&gt;=9,"Masterpiece",Table1[[#This Row],[IMDB_Rating]]&gt;=8,"Excellent",Table1[[#This Row],[IMDB_Rating]]&gt;=7,"Good",Table1[[#This Row],[IMDB_Rating]]&lt;7,"Average")</f>
        <v>Excellent</v>
      </c>
    </row>
    <row r="969" spans="1:11" x14ac:dyDescent="0.35">
      <c r="A969" t="s">
        <v>892</v>
      </c>
      <c r="B969">
        <v>2003</v>
      </c>
      <c r="C969">
        <v>186</v>
      </c>
      <c r="D969" t="s">
        <v>67</v>
      </c>
      <c r="E969">
        <v>8</v>
      </c>
      <c r="F969" t="s">
        <v>893</v>
      </c>
      <c r="G969" t="s">
        <v>894</v>
      </c>
      <c r="H969">
        <v>63460</v>
      </c>
      <c r="I969">
        <v>1787378</v>
      </c>
      <c r="J969">
        <v>54</v>
      </c>
      <c r="K969" t="str" cm="1">
        <f t="array" ref="K96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0" spans="1:11" x14ac:dyDescent="0.35">
      <c r="A970" t="s">
        <v>357</v>
      </c>
      <c r="B970">
        <v>2013</v>
      </c>
      <c r="C970">
        <v>186</v>
      </c>
      <c r="D970" t="s">
        <v>34</v>
      </c>
      <c r="E970">
        <v>8.1999999999999993</v>
      </c>
      <c r="F970" t="s">
        <v>358</v>
      </c>
      <c r="G970" t="s">
        <v>359</v>
      </c>
      <c r="H970">
        <v>61137</v>
      </c>
      <c r="I970">
        <v>1626289</v>
      </c>
      <c r="K970" t="str" cm="1">
        <f t="array" ref="K97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1" spans="1:11" x14ac:dyDescent="0.35">
      <c r="A971" t="s">
        <v>916</v>
      </c>
      <c r="B971">
        <v>1999</v>
      </c>
      <c r="C971">
        <v>188</v>
      </c>
      <c r="D971" t="s">
        <v>11</v>
      </c>
      <c r="E971">
        <v>8</v>
      </c>
      <c r="F971" t="s">
        <v>383</v>
      </c>
      <c r="G971" t="s">
        <v>917</v>
      </c>
      <c r="H971">
        <v>289742</v>
      </c>
      <c r="I971">
        <v>22455976</v>
      </c>
      <c r="J971">
        <v>77</v>
      </c>
      <c r="K971" t="str" cm="1">
        <f t="array" ref="K97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2" spans="1:11" x14ac:dyDescent="0.35">
      <c r="A972" t="s">
        <v>1838</v>
      </c>
      <c r="B972">
        <v>1993</v>
      </c>
      <c r="C972">
        <v>188</v>
      </c>
      <c r="D972" t="s">
        <v>67</v>
      </c>
      <c r="E972">
        <v>7.7</v>
      </c>
      <c r="F972" t="s">
        <v>1839</v>
      </c>
      <c r="G972" t="s">
        <v>1840</v>
      </c>
      <c r="H972">
        <v>42275</v>
      </c>
      <c r="I972">
        <v>6110979</v>
      </c>
      <c r="J972">
        <v>79</v>
      </c>
      <c r="K972" t="str" cm="1">
        <f t="array" ref="K972">_xlfn.IFS(Table1[[#This Row],[IMDB_Rating]]&gt;=9,"Masterpiece",Table1[[#This Row],[IMDB_Rating]]&gt;=8,"Excellent",Table1[[#This Row],[IMDB_Rating]]&gt;=7,"Good",Table1[[#This Row],[IMDB_Rating]]&lt;7,"Average")</f>
        <v>Good</v>
      </c>
    </row>
    <row r="973" spans="1:11" x14ac:dyDescent="0.35">
      <c r="A973" t="s">
        <v>672</v>
      </c>
      <c r="B973">
        <v>1982</v>
      </c>
      <c r="C973">
        <v>188</v>
      </c>
      <c r="D973" t="s">
        <v>11</v>
      </c>
      <c r="E973">
        <v>8.1</v>
      </c>
      <c r="F973" t="s">
        <v>437</v>
      </c>
      <c r="G973" t="s">
        <v>673</v>
      </c>
      <c r="H973">
        <v>57784</v>
      </c>
      <c r="I973">
        <v>4971340</v>
      </c>
      <c r="J973">
        <v>100</v>
      </c>
      <c r="K973" t="str" cm="1">
        <f t="array" ref="K97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4" spans="1:11" x14ac:dyDescent="0.35">
      <c r="A974" t="s">
        <v>84</v>
      </c>
      <c r="B974">
        <v>1999</v>
      </c>
      <c r="C974">
        <v>189</v>
      </c>
      <c r="D974" t="s">
        <v>15</v>
      </c>
      <c r="E974">
        <v>8.6</v>
      </c>
      <c r="F974" t="s">
        <v>12</v>
      </c>
      <c r="G974" t="s">
        <v>45</v>
      </c>
      <c r="H974">
        <v>1147794</v>
      </c>
      <c r="I974">
        <v>136801374</v>
      </c>
      <c r="J974">
        <v>61</v>
      </c>
      <c r="K974" t="str" cm="1">
        <f t="array" ref="K974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5" spans="1:11" x14ac:dyDescent="0.35">
      <c r="A975" t="s">
        <v>958</v>
      </c>
      <c r="B975">
        <v>1991</v>
      </c>
      <c r="C975">
        <v>189</v>
      </c>
      <c r="D975" t="s">
        <v>11</v>
      </c>
      <c r="E975">
        <v>8</v>
      </c>
      <c r="F975" t="s">
        <v>656</v>
      </c>
      <c r="G975" t="s">
        <v>959</v>
      </c>
      <c r="H975">
        <v>142110</v>
      </c>
      <c r="I975">
        <v>70405498</v>
      </c>
      <c r="J975">
        <v>72</v>
      </c>
      <c r="K975" t="str" cm="1">
        <f t="array" ref="K97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6" spans="1:11" x14ac:dyDescent="0.35">
      <c r="A976" t="s">
        <v>633</v>
      </c>
      <c r="B976">
        <v>1995</v>
      </c>
      <c r="C976">
        <v>189</v>
      </c>
      <c r="D976" t="s">
        <v>11</v>
      </c>
      <c r="E976">
        <v>8.1</v>
      </c>
      <c r="F976" t="s">
        <v>634</v>
      </c>
      <c r="G976" t="s">
        <v>381</v>
      </c>
      <c r="H976">
        <v>63516</v>
      </c>
      <c r="I976">
        <v>15121644</v>
      </c>
      <c r="K976" t="str" cm="1">
        <f t="array" ref="K97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7" spans="1:11" x14ac:dyDescent="0.35">
      <c r="A977" t="s">
        <v>982</v>
      </c>
      <c r="B977">
        <v>1982</v>
      </c>
      <c r="C977">
        <v>191</v>
      </c>
      <c r="D977" t="s">
        <v>34</v>
      </c>
      <c r="E977">
        <v>8</v>
      </c>
      <c r="F977" t="s">
        <v>983</v>
      </c>
      <c r="G977" t="s">
        <v>984</v>
      </c>
      <c r="H977">
        <v>217664</v>
      </c>
      <c r="I977">
        <v>52767889</v>
      </c>
      <c r="J977">
        <v>79</v>
      </c>
      <c r="K977" t="str" cm="1">
        <f t="array" ref="K977">_xlfn.IFS(Table1[[#This Row],[IMDB_Rating]]&gt;=9,"Masterpiece",Table1[[#This Row],[IMDB_Rating]]&gt;=8,"Excellent",Table1[[#This Row],[IMDB_Rating]]&gt;=7,"Good",Table1[[#This Row],[IMDB_Rating]]&lt;7,"Average")</f>
        <v>Excellent</v>
      </c>
    </row>
    <row r="978" spans="1:11" x14ac:dyDescent="0.35">
      <c r="A978" t="s">
        <v>1449</v>
      </c>
      <c r="B978">
        <v>2004</v>
      </c>
      <c r="C978">
        <v>192</v>
      </c>
      <c r="D978" t="s">
        <v>11</v>
      </c>
      <c r="E978">
        <v>7.8</v>
      </c>
      <c r="F978" t="s">
        <v>1450</v>
      </c>
      <c r="G978" t="s">
        <v>381</v>
      </c>
      <c r="H978">
        <v>49050</v>
      </c>
      <c r="I978">
        <v>2921738</v>
      </c>
      <c r="J978">
        <v>67</v>
      </c>
      <c r="K978" t="str" cm="1">
        <f t="array" ref="K978">_xlfn.IFS(Table1[[#This Row],[IMDB_Rating]]&gt;=9,"Masterpiece",Table1[[#This Row],[IMDB_Rating]]&gt;=8,"Excellent",Table1[[#This Row],[IMDB_Rating]]&gt;=7,"Good",Table1[[#This Row],[IMDB_Rating]]&lt;7,"Average")</f>
        <v>Good</v>
      </c>
    </row>
    <row r="979" spans="1:11" x14ac:dyDescent="0.35">
      <c r="A979" t="s">
        <v>1564</v>
      </c>
      <c r="B979">
        <v>1983</v>
      </c>
      <c r="C979">
        <v>193</v>
      </c>
      <c r="D979" t="s">
        <v>74</v>
      </c>
      <c r="E979">
        <v>7.8</v>
      </c>
      <c r="F979" t="s">
        <v>1565</v>
      </c>
      <c r="G979" t="s">
        <v>1566</v>
      </c>
      <c r="H979">
        <v>56235</v>
      </c>
      <c r="I979">
        <v>21500000</v>
      </c>
      <c r="J979">
        <v>91</v>
      </c>
      <c r="K979" t="str" cm="1">
        <f t="array" ref="K979">_xlfn.IFS(Table1[[#This Row],[IMDB_Rating]]&gt;=9,"Masterpiece",Table1[[#This Row],[IMDB_Rating]]&gt;=8,"Excellent",Table1[[#This Row],[IMDB_Rating]]&gt;=7,"Good",Table1[[#This Row],[IMDB_Rating]]&lt;7,"Average")</f>
        <v>Good</v>
      </c>
    </row>
    <row r="980" spans="1:11" x14ac:dyDescent="0.35">
      <c r="A980" t="s">
        <v>1496</v>
      </c>
      <c r="B980">
        <v>1997</v>
      </c>
      <c r="C980">
        <v>194</v>
      </c>
      <c r="D980" t="s">
        <v>11</v>
      </c>
      <c r="E980">
        <v>7.8</v>
      </c>
      <c r="F980" t="s">
        <v>133</v>
      </c>
      <c r="G980" t="s">
        <v>38</v>
      </c>
      <c r="H980">
        <v>1046089</v>
      </c>
      <c r="I980">
        <v>659325379</v>
      </c>
      <c r="J980">
        <v>75</v>
      </c>
      <c r="K980" t="str" cm="1">
        <f t="array" ref="K980">_xlfn.IFS(Table1[[#This Row],[IMDB_Rating]]&gt;=9,"Masterpiece",Table1[[#This Row],[IMDB_Rating]]&gt;=8,"Excellent",Table1[[#This Row],[IMDB_Rating]]&gt;=7,"Good",Table1[[#This Row],[IMDB_Rating]]&lt;7,"Average")</f>
        <v>Good</v>
      </c>
    </row>
    <row r="981" spans="1:11" x14ac:dyDescent="0.35">
      <c r="A981" t="s">
        <v>33</v>
      </c>
      <c r="B981">
        <v>1993</v>
      </c>
      <c r="C981">
        <v>195</v>
      </c>
      <c r="D981" t="s">
        <v>34</v>
      </c>
      <c r="E981">
        <v>8.9</v>
      </c>
      <c r="F981" t="s">
        <v>35</v>
      </c>
      <c r="G981" t="s">
        <v>36</v>
      </c>
      <c r="H981">
        <v>1213505</v>
      </c>
      <c r="I981">
        <v>96898818</v>
      </c>
      <c r="J981">
        <v>94</v>
      </c>
      <c r="K981" t="str" cm="1">
        <f t="array" ref="K98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82" spans="1:11" x14ac:dyDescent="0.35">
      <c r="A982" t="s">
        <v>515</v>
      </c>
      <c r="B982">
        <v>2014</v>
      </c>
      <c r="C982">
        <v>196</v>
      </c>
      <c r="D982" t="s">
        <v>11</v>
      </c>
      <c r="E982">
        <v>8.1</v>
      </c>
      <c r="F982" t="s">
        <v>516</v>
      </c>
      <c r="G982" t="s">
        <v>517</v>
      </c>
      <c r="H982">
        <v>46547</v>
      </c>
      <c r="I982">
        <v>165520</v>
      </c>
      <c r="J982">
        <v>88</v>
      </c>
      <c r="K982" t="str" cm="1">
        <f t="array" ref="K982">_xlfn.IFS(Table1[[#This Row],[IMDB_Rating]]&gt;=9,"Masterpiece",Table1[[#This Row],[IMDB_Rating]]&gt;=8,"Excellent",Table1[[#This Row],[IMDB_Rating]]&gt;=7,"Good",Table1[[#This Row],[IMDB_Rating]]&lt;7,"Average")</f>
        <v>Excellent</v>
      </c>
    </row>
    <row r="983" spans="1:11" x14ac:dyDescent="0.35">
      <c r="A983" t="s">
        <v>1020</v>
      </c>
      <c r="B983">
        <v>1965</v>
      </c>
      <c r="C983">
        <v>197</v>
      </c>
      <c r="D983" t="s">
        <v>11</v>
      </c>
      <c r="E983">
        <v>8</v>
      </c>
      <c r="F983" t="s">
        <v>301</v>
      </c>
      <c r="G983" t="s">
        <v>1021</v>
      </c>
      <c r="H983">
        <v>69903</v>
      </c>
      <c r="I983">
        <v>111722000</v>
      </c>
      <c r="J983">
        <v>69</v>
      </c>
      <c r="K983" t="str" cm="1">
        <f t="array" ref="K98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84" spans="1:11" x14ac:dyDescent="0.35">
      <c r="A984" t="s">
        <v>1272</v>
      </c>
      <c r="B984">
        <v>1960</v>
      </c>
      <c r="C984">
        <v>197</v>
      </c>
      <c r="D984" t="s">
        <v>74</v>
      </c>
      <c r="E984">
        <v>7.9</v>
      </c>
      <c r="F984" t="s">
        <v>204</v>
      </c>
      <c r="G984" t="s">
        <v>219</v>
      </c>
      <c r="H984">
        <v>124339</v>
      </c>
      <c r="I984">
        <v>30000000</v>
      </c>
      <c r="J984">
        <v>87</v>
      </c>
      <c r="K984" t="str" cm="1">
        <f t="array" ref="K984">_xlfn.IFS(Table1[[#This Row],[IMDB_Rating]]&gt;=9,"Masterpiece",Table1[[#This Row],[IMDB_Rating]]&gt;=8,"Excellent",Table1[[#This Row],[IMDB_Rating]]&gt;=7,"Good",Table1[[#This Row],[IMDB_Rating]]&lt;7,"Average")</f>
        <v>Good</v>
      </c>
    </row>
    <row r="985" spans="1:11" x14ac:dyDescent="0.35">
      <c r="A985" t="s">
        <v>27</v>
      </c>
      <c r="B985">
        <v>2003</v>
      </c>
      <c r="C985">
        <v>201</v>
      </c>
      <c r="D985" t="s">
        <v>19</v>
      </c>
      <c r="E985">
        <v>8.9</v>
      </c>
      <c r="F985" t="s">
        <v>28</v>
      </c>
      <c r="G985" t="s">
        <v>29</v>
      </c>
      <c r="H985">
        <v>1642758</v>
      </c>
      <c r="I985">
        <v>377845905</v>
      </c>
      <c r="J985">
        <v>94</v>
      </c>
      <c r="K985" t="str" cm="1">
        <f t="array" ref="K985">_xlfn.IFS(Table1[[#This Row],[IMDB_Rating]]&gt;=9,"Masterpiece",Table1[[#This Row],[IMDB_Rating]]&gt;=8,"Excellent",Table1[[#This Row],[IMDB_Rating]]&gt;=7,"Good",Table1[[#This Row],[IMDB_Rating]]&lt;7,"Average")</f>
        <v>Excellent</v>
      </c>
    </row>
    <row r="986" spans="1:11" x14ac:dyDescent="0.35">
      <c r="A986" t="s">
        <v>2184</v>
      </c>
      <c r="B986">
        <v>1956</v>
      </c>
      <c r="C986">
        <v>201</v>
      </c>
      <c r="D986" t="s">
        <v>11</v>
      </c>
      <c r="E986">
        <v>7.6</v>
      </c>
      <c r="F986" t="s">
        <v>2185</v>
      </c>
      <c r="G986" t="s">
        <v>1016</v>
      </c>
      <c r="H986">
        <v>34075</v>
      </c>
      <c r="I986">
        <v>195217415</v>
      </c>
      <c r="J986">
        <v>84</v>
      </c>
      <c r="K986" t="str" cm="1">
        <f t="array" ref="K986">_xlfn.IFS(Table1[[#This Row],[IMDB_Rating]]&gt;=9,"Masterpiece",Table1[[#This Row],[IMDB_Rating]]&gt;=8,"Excellent",Table1[[#This Row],[IMDB_Rating]]&gt;=7,"Good",Table1[[#This Row],[IMDB_Rating]]&lt;7,"Average")</f>
        <v>Good</v>
      </c>
    </row>
    <row r="987" spans="1:11" x14ac:dyDescent="0.35">
      <c r="A987" t="s">
        <v>22</v>
      </c>
      <c r="B987">
        <v>1974</v>
      </c>
      <c r="C987">
        <v>202</v>
      </c>
      <c r="D987" t="s">
        <v>15</v>
      </c>
      <c r="E987">
        <v>9</v>
      </c>
      <c r="F987" t="s">
        <v>16</v>
      </c>
      <c r="G987" t="s">
        <v>23</v>
      </c>
      <c r="H987">
        <v>1129952</v>
      </c>
      <c r="I987">
        <v>57300000</v>
      </c>
      <c r="J987">
        <v>90</v>
      </c>
      <c r="K987" t="str" cm="1">
        <f t="array" ref="K987">_xlfn.IFS(Table1[[#This Row],[IMDB_Rating]]&gt;=9,"Masterpiece",Table1[[#This Row],[IMDB_Rating]]&gt;=8,"Excellent",Table1[[#This Row],[IMDB_Rating]]&gt;=7,"Good",Table1[[#This Row],[IMDB_Rating]]&lt;7,"Average")</f>
        <v>Masterpiece</v>
      </c>
    </row>
    <row r="988" spans="1:11" x14ac:dyDescent="0.35">
      <c r="A988" t="s">
        <v>1845</v>
      </c>
      <c r="B988">
        <v>1992</v>
      </c>
      <c r="C988">
        <v>202</v>
      </c>
      <c r="D988" t="s">
        <v>34</v>
      </c>
      <c r="E988">
        <v>7.7</v>
      </c>
      <c r="F988" t="s">
        <v>965</v>
      </c>
      <c r="G988" t="s">
        <v>1436</v>
      </c>
      <c r="H988">
        <v>85819</v>
      </c>
      <c r="I988">
        <v>48169908</v>
      </c>
      <c r="J988">
        <v>73</v>
      </c>
      <c r="K988" t="str" cm="1">
        <f t="array" ref="K988">_xlfn.IFS(Table1[[#This Row],[IMDB_Rating]]&gt;=9,"Masterpiece",Table1[[#This Row],[IMDB_Rating]]&gt;=8,"Excellent",Table1[[#This Row],[IMDB_Rating]]&gt;=7,"Good",Table1[[#This Row],[IMDB_Rating]]&lt;7,"Average")</f>
        <v>Good</v>
      </c>
    </row>
    <row r="989" spans="1:11" x14ac:dyDescent="0.35">
      <c r="A989" t="s">
        <v>442</v>
      </c>
      <c r="B989">
        <v>1975</v>
      </c>
      <c r="C989">
        <v>204</v>
      </c>
      <c r="D989" t="s">
        <v>19</v>
      </c>
      <c r="E989">
        <v>8.1999999999999993</v>
      </c>
      <c r="F989" t="s">
        <v>443</v>
      </c>
      <c r="G989" t="s">
        <v>444</v>
      </c>
      <c r="H989">
        <v>51284</v>
      </c>
      <c r="I989">
        <v>932069480</v>
      </c>
      <c r="K989" t="str" cm="1">
        <f t="array" ref="K989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0" spans="1:11" x14ac:dyDescent="0.35">
      <c r="A990" t="s">
        <v>705</v>
      </c>
      <c r="B990">
        <v>1966</v>
      </c>
      <c r="C990">
        <v>205</v>
      </c>
      <c r="D990" t="s">
        <v>34</v>
      </c>
      <c r="E990">
        <v>8.1</v>
      </c>
      <c r="F990" t="s">
        <v>434</v>
      </c>
      <c r="G990" t="s">
        <v>706</v>
      </c>
      <c r="H990">
        <v>46947</v>
      </c>
      <c r="I990">
        <v>102021</v>
      </c>
      <c r="K990" t="str" cm="1">
        <f t="array" ref="K990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1" spans="1:11" x14ac:dyDescent="0.35">
      <c r="A991" t="s">
        <v>97</v>
      </c>
      <c r="B991">
        <v>1954</v>
      </c>
      <c r="C991">
        <v>207</v>
      </c>
      <c r="D991" t="s">
        <v>19</v>
      </c>
      <c r="E991">
        <v>8.6</v>
      </c>
      <c r="F991" t="s">
        <v>98</v>
      </c>
      <c r="G991" t="s">
        <v>99</v>
      </c>
      <c r="H991">
        <v>315744</v>
      </c>
      <c r="I991">
        <v>269061</v>
      </c>
      <c r="J991">
        <v>98</v>
      </c>
      <c r="K991" t="str" cm="1">
        <f t="array" ref="K991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2" spans="1:11" x14ac:dyDescent="0.35">
      <c r="A992" t="s">
        <v>1130</v>
      </c>
      <c r="B992">
        <v>2019</v>
      </c>
      <c r="C992">
        <v>209</v>
      </c>
      <c r="D992" t="s">
        <v>34</v>
      </c>
      <c r="E992">
        <v>7.9</v>
      </c>
      <c r="F992" t="s">
        <v>55</v>
      </c>
      <c r="G992" t="s">
        <v>56</v>
      </c>
      <c r="H992">
        <v>324720</v>
      </c>
      <c r="I992">
        <v>7000000</v>
      </c>
      <c r="J992">
        <v>94</v>
      </c>
      <c r="K992" t="str" cm="1">
        <f t="array" ref="K992">_xlfn.IFS(Table1[[#This Row],[IMDB_Rating]]&gt;=9,"Masterpiece",Table1[[#This Row],[IMDB_Rating]]&gt;=8,"Excellent",Table1[[#This Row],[IMDB_Rating]]&gt;=7,"Good",Table1[[#This Row],[IMDB_Rating]]&lt;7,"Average")</f>
        <v>Good</v>
      </c>
    </row>
    <row r="993" spans="1:13" x14ac:dyDescent="0.35">
      <c r="A993" t="s">
        <v>397</v>
      </c>
      <c r="B993">
        <v>2004</v>
      </c>
      <c r="C993">
        <v>210</v>
      </c>
      <c r="D993" t="s">
        <v>11</v>
      </c>
      <c r="E993">
        <v>8.1999999999999993</v>
      </c>
      <c r="F993" t="s">
        <v>398</v>
      </c>
      <c r="G993" t="s">
        <v>381</v>
      </c>
      <c r="H993">
        <v>83005</v>
      </c>
      <c r="I993">
        <v>1223240</v>
      </c>
      <c r="K993" t="str" cm="1">
        <f t="array" ref="K993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4" spans="1:13" x14ac:dyDescent="0.35">
      <c r="A994" t="s">
        <v>725</v>
      </c>
      <c r="B994">
        <v>1959</v>
      </c>
      <c r="C994">
        <v>212</v>
      </c>
      <c r="D994" t="s">
        <v>74</v>
      </c>
      <c r="E994">
        <v>8.1</v>
      </c>
      <c r="F994" t="s">
        <v>726</v>
      </c>
      <c r="G994" t="s">
        <v>727</v>
      </c>
      <c r="H994">
        <v>219466</v>
      </c>
      <c r="I994">
        <v>74700000</v>
      </c>
      <c r="J994">
        <v>90</v>
      </c>
      <c r="K994" t="str" cm="1">
        <f t="array" ref="K994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5" spans="1:13" x14ac:dyDescent="0.35">
      <c r="A995" t="s">
        <v>1279</v>
      </c>
      <c r="B995">
        <v>1956</v>
      </c>
      <c r="C995">
        <v>220</v>
      </c>
      <c r="D995" t="s">
        <v>74</v>
      </c>
      <c r="E995">
        <v>7.9</v>
      </c>
      <c r="F995" t="s">
        <v>1280</v>
      </c>
      <c r="G995" t="s">
        <v>727</v>
      </c>
      <c r="H995">
        <v>63560</v>
      </c>
      <c r="I995">
        <v>93740000</v>
      </c>
      <c r="K995" t="str" cm="1">
        <f t="array" ref="K995">_xlfn.IFS(Table1[[#This Row],[IMDB_Rating]]&gt;=9,"Masterpiece",Table1[[#This Row],[IMDB_Rating]]&gt;=8,"Excellent",Table1[[#This Row],[IMDB_Rating]]&gt;=7,"Good",Table1[[#This Row],[IMDB_Rating]]&lt;7,"Average")</f>
        <v>Good</v>
      </c>
    </row>
    <row r="996" spans="1:13" x14ac:dyDescent="0.35">
      <c r="A996" t="s">
        <v>611</v>
      </c>
      <c r="B996">
        <v>2001</v>
      </c>
      <c r="C996">
        <v>224</v>
      </c>
      <c r="D996" t="s">
        <v>74</v>
      </c>
      <c r="E996">
        <v>8.1</v>
      </c>
      <c r="F996" t="s">
        <v>398</v>
      </c>
      <c r="G996" t="s">
        <v>168</v>
      </c>
      <c r="H996">
        <v>105036</v>
      </c>
      <c r="I996">
        <v>70147</v>
      </c>
      <c r="J996">
        <v>84</v>
      </c>
      <c r="K996" t="str" cm="1">
        <f t="array" ref="K996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7" spans="1:13" x14ac:dyDescent="0.35">
      <c r="A997" t="s">
        <v>300</v>
      </c>
      <c r="B997">
        <v>1962</v>
      </c>
      <c r="C997">
        <v>228</v>
      </c>
      <c r="D997" t="s">
        <v>74</v>
      </c>
      <c r="E997">
        <v>8.3000000000000007</v>
      </c>
      <c r="F997" t="s">
        <v>301</v>
      </c>
      <c r="G997" t="s">
        <v>302</v>
      </c>
      <c r="H997">
        <v>268085</v>
      </c>
      <c r="I997">
        <v>44824144</v>
      </c>
      <c r="J997">
        <v>100</v>
      </c>
      <c r="K997" t="str" cm="1">
        <f t="array" ref="K997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8" spans="1:13" x14ac:dyDescent="0.35">
      <c r="A998" t="s">
        <v>200</v>
      </c>
      <c r="B998">
        <v>1984</v>
      </c>
      <c r="C998">
        <v>229</v>
      </c>
      <c r="D998" t="s">
        <v>15</v>
      </c>
      <c r="E998">
        <v>8.4</v>
      </c>
      <c r="F998" t="s">
        <v>48</v>
      </c>
      <c r="G998" t="s">
        <v>56</v>
      </c>
      <c r="H998">
        <v>311365</v>
      </c>
      <c r="I998">
        <v>5321508</v>
      </c>
      <c r="K998" t="str" cm="1">
        <f t="array" ref="K998">_xlfn.IFS(Table1[[#This Row],[IMDB_Rating]]&gt;=9,"Masterpiece",Table1[[#This Row],[IMDB_Rating]]&gt;=8,"Excellent",Table1[[#This Row],[IMDB_Rating]]&gt;=7,"Good",Table1[[#This Row],[IMDB_Rating]]&lt;7,"Average")</f>
        <v>Excellent</v>
      </c>
    </row>
    <row r="999" spans="1:13" x14ac:dyDescent="0.35">
      <c r="A999" t="s">
        <v>754</v>
      </c>
      <c r="B999">
        <v>1939</v>
      </c>
      <c r="C999">
        <v>238</v>
      </c>
      <c r="D999" t="s">
        <v>11</v>
      </c>
      <c r="E999">
        <v>8.1</v>
      </c>
      <c r="F999" t="s">
        <v>755</v>
      </c>
      <c r="G999" t="s">
        <v>756</v>
      </c>
      <c r="H999">
        <v>290074</v>
      </c>
      <c r="I999">
        <v>198676459</v>
      </c>
      <c r="J999">
        <v>97</v>
      </c>
      <c r="K999" t="str" cm="1">
        <f t="array" ref="K999">_xlfn.IFS(Table1[[#This Row],[IMDB_Rating]]&gt;=9,"Masterpiece",Table1[[#This Row],[IMDB_Rating]]&gt;=8,"Excellent",Table1[[#This Row],[IMDB_Rating]]&gt;=7,"Good",Table1[[#This Row],[IMDB_Rating]]&lt;7,"Average")</f>
        <v>Excellent</v>
      </c>
    </row>
    <row r="1000" spans="1:13" x14ac:dyDescent="0.35">
      <c r="A1000" t="s">
        <v>1826</v>
      </c>
      <c r="B1000">
        <v>1996</v>
      </c>
      <c r="C1000">
        <v>242</v>
      </c>
      <c r="D1000" t="s">
        <v>11</v>
      </c>
      <c r="E1000">
        <v>7.7</v>
      </c>
      <c r="F1000" t="s">
        <v>1827</v>
      </c>
      <c r="G1000" t="s">
        <v>1827</v>
      </c>
      <c r="H1000">
        <v>35991</v>
      </c>
      <c r="I1000">
        <v>4414535</v>
      </c>
      <c r="K1000" t="str" cm="1">
        <f t="array" ref="K1000">_xlfn.IFS(Table1[[#This Row],[IMDB_Rating]]&gt;=9,"Masterpiece",Table1[[#This Row],[IMDB_Rating]]&gt;=8,"Excellent",Table1[[#This Row],[IMDB_Rating]]&gt;=7,"Good",Table1[[#This Row],[IMDB_Rating]]&lt;7,"Average")</f>
        <v>Good</v>
      </c>
    </row>
    <row r="1001" spans="1:13" x14ac:dyDescent="0.35">
      <c r="A1001" t="s">
        <v>360</v>
      </c>
      <c r="B1001">
        <v>2012</v>
      </c>
      <c r="C1001">
        <v>321</v>
      </c>
      <c r="D1001" t="s">
        <v>19</v>
      </c>
      <c r="E1001">
        <v>8.1999999999999993</v>
      </c>
      <c r="F1001" t="s">
        <v>361</v>
      </c>
      <c r="G1001" t="s">
        <v>362</v>
      </c>
      <c r="H1001">
        <v>82365</v>
      </c>
      <c r="I1001">
        <v>5257741</v>
      </c>
      <c r="J1001">
        <v>89</v>
      </c>
      <c r="K1001" t="str" cm="1">
        <f t="array" ref="K1001">_xlfn.IFS(Table1[[#This Row],[IMDB_Rating]]&gt;=9,"Masterpiece",Table1[[#This Row],[IMDB_Rating]]&gt;=8,"Excellent",Table1[[#This Row],[IMDB_Rating]]&gt;=7,"Good",Table1[[#This Row],[IMDB_Rating]]&lt;7,"Average")</f>
        <v>Excellent</v>
      </c>
    </row>
    <row r="1004" spans="1:13" x14ac:dyDescent="0.35">
      <c r="M100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imdb-top-1000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2026-07-04T18:57:03Z</dcterms:created>
  <dcterms:modified xsi:type="dcterms:W3CDTF">2026-07-05T17:37:45Z</dcterms:modified>
</cp:coreProperties>
</file>